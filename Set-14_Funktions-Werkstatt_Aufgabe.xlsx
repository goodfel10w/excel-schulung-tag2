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Teil A - Text" sheetId="2" state="visible" r:id="rId2"/>
    <sheet name="Teil B - Datum" sheetId="3" state="visible" r:id="rId3"/>
    <sheet name="Teil C - Logik" sheetId="4" state="visible" r:id="rId4"/>
    <sheet name="Teil D - Aggregation" sheetId="5" state="visible" r:id="rId5"/>
    <sheet name="Teil E - XVERWEIS" sheetId="6" state="visible" r:id="rId6"/>
    <sheet name="Teil F - Matrix+36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yyyy-mm-dd"/>
    <numFmt numFmtId="166" formatCode="DD.MM.YYYY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color rgb="00333333"/>
      <sz val="10"/>
    </font>
    <font>
      <name val="Segoe UI"/>
      <b val="1"/>
      <color rgb="000D2A5C"/>
      <sz val="11"/>
    </font>
    <font>
      <name val="Segoe UI"/>
      <b val="1"/>
      <color rgb="00FFFFFF"/>
      <sz val="10"/>
    </font>
    <font>
      <name val="Segoe UI"/>
      <b val="1"/>
      <color rgb="000D2A5C"/>
      <sz val="10"/>
    </font>
    <font>
      <name val="Segoe UI"/>
      <i val="1"/>
      <color rgb="00555555"/>
      <sz val="9"/>
    </font>
    <font>
      <name val="Segoe UI"/>
      <i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164194"/>
      </patternFill>
    </fill>
    <fill>
      <patternFill patternType="solid">
        <fgColor rgb="000D2A5C"/>
      </patternFill>
    </fill>
    <fill>
      <patternFill patternType="solid">
        <fgColor rgb="00EAF0FB"/>
      </patternFill>
    </fill>
    <fill>
      <patternFill patternType="solid">
        <fgColor rgb="00FFF7DD"/>
      </patternFill>
    </fill>
    <fill>
      <patternFill patternType="solid">
        <fgColor rgb="00EAF6EE"/>
      </patternFill>
    </fill>
  </fills>
  <borders count="2">
    <border>
      <left/>
      <right/>
      <top/>
      <bottom/>
      <diagonal/>
    </border>
    <border>
      <left style="thin">
        <color rgb="00C9D4E6"/>
      </left>
      <right style="thin">
        <color rgb="00C9D4E6"/>
      </right>
      <top style="thin">
        <color rgb="00C9D4E6"/>
      </top>
      <bottom style="thin">
        <color rgb="00C9D4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indent="1"/>
    </xf>
    <xf numFmtId="0" fontId="5" fillId="2" borderId="0" applyAlignment="1" pivotButton="0" quotePrefix="0" xfId="0">
      <alignment vertical="center" indent="1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 indent="1"/>
    </xf>
    <xf numFmtId="0" fontId="0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6" fillId="0" borderId="0" applyAlignment="1" pivotButton="0" quotePrefix="0" xfId="0">
      <alignment vertical="center" indent="1"/>
    </xf>
    <xf numFmtId="0" fontId="8" fillId="6" borderId="0" applyAlignment="1" pivotButton="0" quotePrefix="0" xfId="0">
      <alignment vertical="top" wrapText="1"/>
    </xf>
    <xf numFmtId="166" fontId="0" fillId="0" borderId="1" pivotButton="0" quotePrefix="0" xfId="0"/>
    <xf numFmtId="166" fontId="0" fillId="5" borderId="1" pivotButton="0" quotePrefix="0" xfId="0"/>
    <xf numFmtId="1" fontId="0" fillId="5" borderId="1" pivotButton="0" quotePrefix="0" xfId="0"/>
    <xf numFmtId="164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6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Set 14  ·  Funktions-Werkstatt</t>
        </is>
      </c>
    </row>
    <row r="2" ht="20" customHeight="1">
      <c r="A2" s="2" t="inlineStr">
        <is>
          <t>Arbeitsmappe Teilnehmende  ·  Excel-Formeln quer durch alle Familien  ·  Knoff-Hoff GmbH</t>
        </is>
      </c>
    </row>
    <row r="4" ht="58" customHeight="1">
      <c r="A4" s="3" t="inlineStr">
        <is>
          <t>Eine Tour durch die wichtigsten Excel-Funktionsfamilien. Sechs Teile (A-F), eskalierend: erst Text &amp; Datum, dann Logik, dann bedingte Aggregation, dann XVERWEIS als eigener Schwerpunkt, zum Schluss Matrix/Arrays mit 365-Bonus. Jeder Teil hat ein eigenes Blatt mit eingebetteten Daten, gelb markierten Antwortzellen und einem Abnahmetest mit bekanntem Ergebnis.</t>
        </is>
      </c>
    </row>
    <row r="6" ht="22" customHeight="1">
      <c r="A6" s="4" t="inlineStr">
        <is>
          <t>Die sechs Teile (ca. 60 Minuten)</t>
        </is>
      </c>
    </row>
    <row r="7" ht="18" customHeight="1">
      <c r="A7" s="5" t="inlineStr">
        <is>
          <t>Teil</t>
        </is>
      </c>
      <c r="B7" s="5" t="inlineStr">
        <is>
          <t>Thema</t>
        </is>
      </c>
      <c r="C7" s="5" t="inlineStr">
        <is>
          <t>Funktionen (deutsch)</t>
        </is>
      </c>
      <c r="D7" s="5" t="inlineStr">
        <is>
          <t>Zeit</t>
        </is>
      </c>
    </row>
    <row r="8" ht="26" customHeight="1">
      <c r="A8" s="6" t="inlineStr">
        <is>
          <t>A</t>
        </is>
      </c>
      <c r="B8" s="7" t="inlineStr">
        <is>
          <t>Textfunktionen</t>
        </is>
      </c>
      <c r="C8" s="7" t="inlineStr">
        <is>
          <t>LINKS/RECHTS/TEIL, GLAETTEN, GROSS/KLEIN/GROSS2, WECHSELN, LAENGE, TEXTVERKETTEN, &amp;</t>
        </is>
      </c>
      <c r="H8" s="8" t="inlineStr">
        <is>
          <t>10 min</t>
        </is>
      </c>
    </row>
    <row r="9" ht="26" customHeight="1">
      <c r="A9" s="6" t="inlineStr">
        <is>
          <t>B</t>
        </is>
      </c>
      <c r="B9" s="7" t="inlineStr">
        <is>
          <t>Datum &amp; Zeit</t>
        </is>
      </c>
      <c r="C9" s="7" t="inlineStr">
        <is>
          <t>JAHR/MONAT, WOCHENTAG, MONATSENDE, NETTOARBEITSTAGE, DATEDIF, TEXT, HEUTE</t>
        </is>
      </c>
      <c r="H9" s="8" t="inlineStr">
        <is>
          <t>12 min</t>
        </is>
      </c>
    </row>
    <row r="10" ht="26" customHeight="1">
      <c r="A10" s="6" t="inlineStr">
        <is>
          <t>C</t>
        </is>
      </c>
      <c r="B10" s="7" t="inlineStr">
        <is>
          <t>Logik &amp; Fehler</t>
        </is>
      </c>
      <c r="C10" s="7" t="inlineStr">
        <is>
          <t>WENN, WENNS, UND/ODER, WENNFEHLER, ERSTERWERT (SWITCH)</t>
        </is>
      </c>
      <c r="H10" s="8" t="inlineStr">
        <is>
          <t>12 min</t>
        </is>
      </c>
    </row>
    <row r="11" ht="26" customHeight="1">
      <c r="A11" s="6" t="inlineStr">
        <is>
          <t>D</t>
        </is>
      </c>
      <c r="B11" s="7" t="inlineStr">
        <is>
          <t>Bedingte Aggregation</t>
        </is>
      </c>
      <c r="C11" s="7" t="inlineStr">
        <is>
          <t>ZAEHLENWENNS, SUMMEWENNS, MITTELWERTWENNS, MAXWENNS/MINWENNS, RANG, TEILERGEBNIS</t>
        </is>
      </c>
      <c r="H11" s="8" t="inlineStr">
        <is>
          <t>12 min</t>
        </is>
      </c>
    </row>
    <row r="12" ht="26" customHeight="1">
      <c r="A12" s="6" t="inlineStr">
        <is>
          <t>E</t>
        </is>
      </c>
      <c r="B12" s="7" t="inlineStr">
        <is>
          <t>XVERWEIS (eigener Schwerpunkt)</t>
        </is>
      </c>
      <c r="C12" s="7" t="inlineStr">
        <is>
          <t>XVERWEIS: exakt by default, kein Spaltenzaehlen, Linksverweis, Suche von hinten, wenn_nicht_gefunden</t>
        </is>
      </c>
      <c r="H12" s="8" t="inlineStr">
        <is>
          <t>12 min</t>
        </is>
      </c>
    </row>
    <row r="13" ht="26" customHeight="1">
      <c r="A13" s="6" t="inlineStr">
        <is>
          <t>F</t>
        </is>
      </c>
      <c r="B13" s="7" t="inlineStr">
        <is>
          <t>Matrix &amp; dynamische Arrays</t>
        </is>
      </c>
      <c r="C13" s="7" t="inlineStr">
        <is>
          <t>INDEX/VERGLEICH  ·  Bonus 365: FILTER, SORTIEREN, EINDEUTIG, SEQUENZ</t>
        </is>
      </c>
      <c r="H13" s="8" t="inlineStr">
        <is>
          <t>10 min</t>
        </is>
      </c>
    </row>
    <row r="15" ht="22" customHeight="1">
      <c r="A15" s="4" t="inlineStr">
        <is>
          <t>So arbeiten Sie</t>
        </is>
      </c>
    </row>
    <row r="16" ht="16" customHeight="1">
      <c r="A16" s="3" t="inlineStr">
        <is>
          <t xml:space="preserve">   •  Jeder Teil ist ein eigenes Blatt (A Text, B Datum, C Logik, D Aggregation, E XVERWEIS, F Matrix+365).</t>
        </is>
      </c>
    </row>
    <row r="17" ht="16" customHeight="1">
      <c r="A17" s="3" t="inlineStr">
        <is>
          <t xml:space="preserve">   •  Gelbe Zellen = hier tragen Sie Ihre Formel ein. Daneben steht jeweils, welche Funktion gemeint ist.</t>
        </is>
      </c>
    </row>
    <row r="18" ht="16" customHeight="1">
      <c r="A18" s="3" t="inlineStr">
        <is>
          <t xml:space="preserve">   •  Der Abnahmetest unten auf jedem Blatt nennt das erwartete Ergebnis - so pruefen Sie sich selbst.</t>
        </is>
      </c>
    </row>
    <row r="19" ht="16" customHeight="1">
      <c r="A19" s="3" t="inlineStr">
        <is>
          <t xml:space="preserve">   •  Funktionsnamen erscheinen je nach Excel-Sprache deutsch (GLAETTEN) oder englisch (TRIM) - dieselbe Funktion.</t>
        </is>
      </c>
    </row>
    <row r="21" ht="28" customHeight="1">
      <c r="A21" s="9" t="inlineStr">
        <is>
          <t>Ausfuehrliche Aufgabenstellung mit Story, Schritten, Funktions-Spickzettel und Abnahmetests: siehe PDF 'Set-14_Funktions-Werkstatt_Aufgabe.pdf' im Ordner sets/.</t>
        </is>
      </c>
    </row>
  </sheetData>
  <mergeCells count="16">
    <mergeCell ref="A18:H18"/>
    <mergeCell ref="A4:H4"/>
    <mergeCell ref="A21:H21"/>
    <mergeCell ref="C12:G12"/>
    <mergeCell ref="A15:H15"/>
    <mergeCell ref="C10:G10"/>
    <mergeCell ref="A2:H2"/>
    <mergeCell ref="A16:H16"/>
    <mergeCell ref="C11:G11"/>
    <mergeCell ref="A19:H19"/>
    <mergeCell ref="A1:H1"/>
    <mergeCell ref="C13:G13"/>
    <mergeCell ref="C8:G8"/>
    <mergeCell ref="C9:G9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4" customWidth="1" min="4" max="4"/>
    <col width="30" customWidth="1" min="5" max="5"/>
    <col width="26" customWidth="1" min="6" max="6"/>
    <col width="14" customWidth="1" min="7" max="7"/>
    <col width="12" customWidth="1" min="8" max="8"/>
  </cols>
  <sheetData>
    <row r="1" ht="30" customHeight="1">
      <c r="A1" s="1" t="inlineStr">
        <is>
          <t>Teil A  ·  Textfunktionen</t>
        </is>
      </c>
    </row>
    <row r="2" ht="20" customHeight="1">
      <c r="A2" s="2" t="inlineStr">
        <is>
          <t>Saubere Artikelcodes &amp; Etiketten aus chaotischen Rohnamen  ·  Knoff-Hoff GmbH</t>
        </is>
      </c>
    </row>
    <row r="4" ht="30" customHeight="1">
      <c r="A4" s="3" t="inlineStr">
        <is>
          <t>Der Import aus dem Altsystem ist unsauber: Leerzeichen, wilde Gross-/Kleinschreibung. Bauen Sie daraus saubere Bezeichnungen, kurze Artikelcodes und eine Etikettenzeile.</t>
        </is>
      </c>
    </row>
    <row r="6" ht="22" customHeight="1">
      <c r="A6" s="4" t="inlineStr">
        <is>
          <t>Artikel-Stammdaten (Auszug)</t>
        </is>
      </c>
    </row>
    <row r="7" ht="18" customHeight="1">
      <c r="A7" s="5" t="inlineStr">
        <is>
          <t>Nr</t>
        </is>
      </c>
      <c r="B7" s="5" t="inlineStr">
        <is>
          <t>Bezeichnung</t>
        </is>
      </c>
      <c r="C7" s="5" t="inlineStr">
        <is>
          <t>Kategorie</t>
        </is>
      </c>
      <c r="D7" s="5" t="inlineStr">
        <is>
          <t>Einzelpreis</t>
        </is>
      </c>
    </row>
    <row r="8">
      <c r="A8" s="10" t="n">
        <v>1001</v>
      </c>
      <c r="B8" s="10" t="inlineStr">
        <is>
          <t>Kopierpapier A4</t>
        </is>
      </c>
      <c r="C8" s="10" t="inlineStr">
        <is>
          <t>Büromaterial</t>
        </is>
      </c>
      <c r="D8" s="11" t="n">
        <v>16.53</v>
      </c>
    </row>
    <row r="9">
      <c r="A9" s="10" t="n">
        <v>1002</v>
      </c>
      <c r="B9" s="10" t="inlineStr">
        <is>
          <t>Notizblock A5</t>
        </is>
      </c>
      <c r="C9" s="10" t="inlineStr">
        <is>
          <t>Büromaterial</t>
        </is>
      </c>
      <c r="D9" s="11" t="n">
        <v>2.09</v>
      </c>
    </row>
    <row r="10">
      <c r="A10" s="10" t="n">
        <v>1003</v>
      </c>
      <c r="B10" s="10" t="inlineStr">
        <is>
          <t>Kugelschreiber blau</t>
        </is>
      </c>
      <c r="C10" s="10" t="inlineStr">
        <is>
          <t>Büromaterial</t>
        </is>
      </c>
      <c r="D10" s="11" t="n">
        <v>7.96</v>
      </c>
    </row>
    <row r="11">
      <c r="A11" s="10" t="n">
        <v>1004</v>
      </c>
      <c r="B11" s="10" t="inlineStr">
        <is>
          <t>Textmarker-Set</t>
        </is>
      </c>
      <c r="C11" s="10" t="inlineStr">
        <is>
          <t>Büromaterial</t>
        </is>
      </c>
      <c r="D11" s="11" t="n">
        <v>6.75</v>
      </c>
    </row>
    <row r="12">
      <c r="A12" s="10" t="n">
        <v>1025</v>
      </c>
      <c r="B12" s="10" t="inlineStr">
        <is>
          <t>Werkzeugkoffer</t>
        </is>
      </c>
      <c r="C12" s="10" t="inlineStr">
        <is>
          <t>Werkzeug</t>
        </is>
      </c>
      <c r="D12" s="11" t="n">
        <v>306.65</v>
      </c>
    </row>
    <row r="13">
      <c r="A13" s="10" t="n">
        <v>1028</v>
      </c>
      <c r="B13" s="10" t="inlineStr">
        <is>
          <t>Reinigungsmittel</t>
        </is>
      </c>
      <c r="C13" s="10" t="inlineStr">
        <is>
          <t>Reinigung</t>
        </is>
      </c>
      <c r="D13" s="11" t="n">
        <v>38.18</v>
      </c>
    </row>
    <row r="14">
      <c r="A14" s="10" t="n">
        <v>1041</v>
      </c>
      <c r="B14" s="10" t="inlineStr">
        <is>
          <t>Palettenhubwagen</t>
        </is>
      </c>
      <c r="C14" s="10" t="inlineStr">
        <is>
          <t>Lager &amp; Logistik</t>
        </is>
      </c>
      <c r="D14" s="11" t="n">
        <v>65.18000000000001</v>
      </c>
    </row>
    <row r="15">
      <c r="A15" s="10" t="n">
        <v>1044</v>
      </c>
      <c r="B15" s="10" t="inlineStr">
        <is>
          <t>Bohrmaschine</t>
        </is>
      </c>
      <c r="C15" s="10" t="inlineStr">
        <is>
          <t>Werkzeug</t>
        </is>
      </c>
      <c r="D15" s="11" t="n">
        <v>6.63</v>
      </c>
    </row>
    <row r="17" ht="22" customHeight="1">
      <c r="A17" s="4" t="inlineStr">
        <is>
          <t>A1  Rohnamen saeubern  (GLAETTEN, GROSS2)</t>
        </is>
      </c>
    </row>
    <row r="18" ht="18" customHeight="1">
      <c r="A18" s="5" t="inlineStr">
        <is>
          <t>Rohname (Import)</t>
        </is>
      </c>
      <c r="B18" s="5" t="inlineStr">
        <is>
          <t>Sauber = GROSS2(GLAETTEN(...))</t>
        </is>
      </c>
    </row>
    <row r="19">
      <c r="A19" s="10" t="inlineStr">
        <is>
          <t xml:space="preserve">  kopierpapier a4 </t>
        </is>
      </c>
      <c r="B19" s="12" t="n"/>
    </row>
    <row r="20">
      <c r="A20" s="10" t="inlineStr">
        <is>
          <t>NOTIZBLOCK a5</t>
        </is>
      </c>
      <c r="B20" s="12" t="n"/>
    </row>
    <row r="21">
      <c r="A21" s="10" t="inlineStr">
        <is>
          <t xml:space="preserve"> kugelschreiber  blau</t>
        </is>
      </c>
      <c r="B21" s="12" t="n"/>
    </row>
    <row r="22">
      <c r="A22" s="10" t="inlineStr">
        <is>
          <t xml:space="preserve">textmarker-set </t>
        </is>
      </c>
      <c r="B22" s="12" t="n"/>
    </row>
    <row r="24" ht="22" customHeight="1">
      <c r="A24" s="4" t="inlineStr">
        <is>
          <t>A2  Artikelcode bauen  (LINKS, GROSS, &amp; )</t>
        </is>
      </c>
    </row>
    <row r="25" ht="16" customHeight="1">
      <c r="A25" s="3" t="inlineStr">
        <is>
          <t>Schema: Nummer &amp; "-" &amp; GROSS(LINKS(Bezeichnung;4)). Beispiel Zeile 'Kopierpapier A4' -&gt; 1001-KOPI</t>
        </is>
      </c>
    </row>
    <row r="26" ht="18" customHeight="1">
      <c r="A26" s="5" t="inlineStr">
        <is>
          <t>Nr</t>
        </is>
      </c>
      <c r="B26" s="5" t="inlineStr">
        <is>
          <t>Bezeichnung</t>
        </is>
      </c>
      <c r="C26" s="5" t="inlineStr">
        <is>
          <t>Artikelcode</t>
        </is>
      </c>
    </row>
    <row r="27">
      <c r="A27" s="10">
        <f>A8</f>
        <v/>
      </c>
      <c r="B27" s="10">
        <f>B8</f>
        <v/>
      </c>
      <c r="C27" s="12" t="n"/>
    </row>
    <row r="28">
      <c r="A28" s="10">
        <f>A9</f>
        <v/>
      </c>
      <c r="B28" s="10">
        <f>B9</f>
        <v/>
      </c>
      <c r="C28" s="12" t="n"/>
    </row>
    <row r="29">
      <c r="A29" s="10">
        <f>A10</f>
        <v/>
      </c>
      <c r="B29" s="10">
        <f>B10</f>
        <v/>
      </c>
      <c r="C29" s="12" t="n"/>
    </row>
    <row r="30">
      <c r="A30" s="10">
        <f>A11</f>
        <v/>
      </c>
      <c r="B30" s="10">
        <f>B11</f>
        <v/>
      </c>
      <c r="C30" s="12" t="n"/>
    </row>
    <row r="31">
      <c r="A31" s="10">
        <f>A12</f>
        <v/>
      </c>
      <c r="B31" s="10">
        <f>B12</f>
        <v/>
      </c>
      <c r="C31" s="12" t="n"/>
    </row>
    <row r="32">
      <c r="A32" s="10">
        <f>A13</f>
        <v/>
      </c>
      <c r="B32" s="10">
        <f>B13</f>
        <v/>
      </c>
      <c r="C32" s="12" t="n"/>
    </row>
    <row r="33">
      <c r="A33" s="10">
        <f>A14</f>
        <v/>
      </c>
      <c r="B33" s="10">
        <f>B14</f>
        <v/>
      </c>
      <c r="C33" s="12" t="n"/>
    </row>
    <row r="34">
      <c r="A34" s="10">
        <f>A15</f>
        <v/>
      </c>
      <c r="B34" s="10">
        <f>B15</f>
        <v/>
      </c>
      <c r="C34" s="12" t="n"/>
    </row>
    <row r="36" ht="22" customHeight="1">
      <c r="A36" s="4" t="inlineStr">
        <is>
          <t>A3  Einzelaufgaben  (LAENGE, WECHSELN, TEXTVERKETTEN)</t>
        </is>
      </c>
    </row>
    <row r="37">
      <c r="A37" s="13" t="inlineStr">
        <is>
          <t>Laenge von GLAETTEN("  Kugelschreiber blau  ")  (LAENGE+GLAETTEN)</t>
        </is>
      </c>
      <c r="F37" s="12" t="n"/>
    </row>
    <row r="38">
      <c r="A38" s="13" t="inlineStr">
        <is>
          <t>"Kopierpapier A4" -&gt; A4 durch A3 ersetzen  (WECHSELN)</t>
        </is>
      </c>
      <c r="F38" s="12" t="n"/>
    </row>
    <row r="39">
      <c r="A39" s="13" t="inlineStr">
        <is>
          <t>Etikett: erste 3 Bezeichnungen mit ", " verbinden  (TEXTVERKETTEN)</t>
        </is>
      </c>
      <c r="F39" s="12" t="n"/>
    </row>
    <row r="40">
      <c r="A40" s="13" t="inlineStr">
        <is>
          <t>Kategorie-Kuerzel von Zeile 1: GROSS(LINKS(Kategorie;3))  (GROSS, LINKS)</t>
        </is>
      </c>
      <c r="F40" s="12" t="n"/>
    </row>
    <row r="42" ht="30" customHeight="1">
      <c r="A42" s="14" t="inlineStr">
        <is>
          <t>Abnahmetest: A1 Zeile 1 ergibt "Kopierpapier A4"; A2 Zeile 1 ergibt "1001-KOPI"; A3 LAENGE=19, WECHSELN="Kopierpapier A3", Kuerzel="BÜR".</t>
        </is>
      </c>
    </row>
  </sheetData>
  <mergeCells count="13">
    <mergeCell ref="A4:H4"/>
    <mergeCell ref="A39:E39"/>
    <mergeCell ref="A38:E38"/>
    <mergeCell ref="A25:H25"/>
    <mergeCell ref="A24:H24"/>
    <mergeCell ref="A2:H2"/>
    <mergeCell ref="A42:H42"/>
    <mergeCell ref="A36:H36"/>
    <mergeCell ref="A37:E37"/>
    <mergeCell ref="A1:H1"/>
    <mergeCell ref="A40:E40"/>
    <mergeCell ref="A6:H6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 ht="30" customHeight="1">
      <c r="A1" s="1" t="inlineStr">
        <is>
          <t>Teil B  ·  Datums- &amp; Zeitfunktionen</t>
        </is>
      </c>
    </row>
    <row r="2" ht="20" customHeight="1">
      <c r="A2" s="2" t="inlineStr">
        <is>
          <t>Zahlungsziele, Wochentage und Fristen aus Umsatzdaten  ·  Knoff-Hoff GmbH</t>
        </is>
      </c>
    </row>
    <row r="4" ht="30" customHeight="1">
      <c r="A4" s="3" t="inlineStr">
        <is>
          <t>Die Buchhaltung braucht aus den Umsatzbelegen Jahr/Monat, den Wochentag, das Monatsende (Zahlungsziel) und die Arbeitstage bis dahin. HEUTE() liefert den Stichtag fuer das Alter eines Belegs.</t>
        </is>
      </c>
    </row>
    <row r="6" ht="22" customHeight="1">
      <c r="A6" s="4" t="inlineStr">
        <is>
          <t>Umsatz-Belege (Auszug)</t>
        </is>
      </c>
    </row>
    <row r="7" ht="18" customHeight="1">
      <c r="A7" s="5" t="inlineStr">
        <is>
          <t>Kunde</t>
        </is>
      </c>
      <c r="B7" s="5" t="inlineStr">
        <is>
          <t>Region</t>
        </is>
      </c>
      <c r="C7" s="5" t="inlineStr">
        <is>
          <t>Betrag</t>
        </is>
      </c>
      <c r="D7" s="5" t="inlineStr">
        <is>
          <t>Datum</t>
        </is>
      </c>
    </row>
    <row r="8">
      <c r="A8" s="10" t="inlineStr">
        <is>
          <t>Becker Logistik</t>
        </is>
      </c>
      <c r="B8" s="10" t="inlineStr">
        <is>
          <t>Ost</t>
        </is>
      </c>
      <c r="C8" s="11" t="n">
        <v>1036.45</v>
      </c>
      <c r="D8" s="15" t="n">
        <v>45128</v>
      </c>
    </row>
    <row r="9">
      <c r="A9" s="10" t="inlineStr">
        <is>
          <t>Hoffmann GmbH</t>
        </is>
      </c>
      <c r="B9" s="10" t="inlineStr">
        <is>
          <t>Nord</t>
        </is>
      </c>
      <c r="C9" s="11" t="n">
        <v>11350.71</v>
      </c>
      <c r="D9" s="15" t="n">
        <v>45834</v>
      </c>
    </row>
    <row r="10">
      <c r="A10" s="10" t="inlineStr">
        <is>
          <t>Haas &amp; Partner</t>
        </is>
      </c>
      <c r="B10" s="10" t="inlineStr">
        <is>
          <t>Süd</t>
        </is>
      </c>
      <c r="C10" s="11" t="n">
        <v>13572.15</v>
      </c>
      <c r="D10" s="15" t="n">
        <v>44957</v>
      </c>
    </row>
    <row r="11">
      <c r="A11" s="10" t="inlineStr">
        <is>
          <t>Franke KG</t>
        </is>
      </c>
      <c r="B11" s="10" t="inlineStr">
        <is>
          <t>Ost</t>
        </is>
      </c>
      <c r="C11" s="11" t="n">
        <v>12132.18</v>
      </c>
      <c r="D11" s="15" t="n">
        <v>45364</v>
      </c>
    </row>
    <row r="12">
      <c r="A12" s="10" t="inlineStr">
        <is>
          <t>Engel GmbH</t>
        </is>
      </c>
      <c r="B12" s="10" t="inlineStr">
        <is>
          <t>Süd</t>
        </is>
      </c>
      <c r="C12" s="11" t="n">
        <v>2336.2</v>
      </c>
      <c r="D12" s="15" t="n">
        <v>45923</v>
      </c>
    </row>
    <row r="14" ht="22" customHeight="1">
      <c r="A14" s="4" t="inlineStr">
        <is>
          <t>B1  Beleg zerlegen  (JAHR, MONAT, TEXT, MONATSENDE)</t>
        </is>
      </c>
    </row>
    <row r="15" ht="18" customHeight="1">
      <c r="A15" s="5" t="inlineStr">
        <is>
          <t>Datum</t>
        </is>
      </c>
      <c r="B15" s="5" t="inlineStr">
        <is>
          <t>Jahr</t>
        </is>
      </c>
      <c r="C15" s="5" t="inlineStr">
        <is>
          <t>Monat</t>
        </is>
      </c>
      <c r="D15" s="5" t="inlineStr">
        <is>
          <t>Wochentag (TEXT)</t>
        </is>
      </c>
      <c r="E15" s="5" t="inlineStr">
        <is>
          <t>Monatsende</t>
        </is>
      </c>
    </row>
    <row r="16">
      <c r="A16" s="15">
        <f>D8</f>
        <v/>
      </c>
      <c r="B16" s="12" t="n"/>
      <c r="C16" s="12" t="n"/>
      <c r="D16" s="12" t="n"/>
      <c r="E16" s="16" t="n"/>
    </row>
    <row r="17">
      <c r="A17" s="15">
        <f>D9</f>
        <v/>
      </c>
      <c r="B17" s="12" t="n"/>
      <c r="C17" s="12" t="n"/>
      <c r="D17" s="12" t="n"/>
      <c r="E17" s="16" t="n"/>
    </row>
    <row r="18">
      <c r="A18" s="15">
        <f>D10</f>
        <v/>
      </c>
      <c r="B18" s="12" t="n"/>
      <c r="C18" s="12" t="n"/>
      <c r="D18" s="12" t="n"/>
      <c r="E18" s="16" t="n"/>
    </row>
    <row r="19">
      <c r="A19" s="15">
        <f>D11</f>
        <v/>
      </c>
      <c r="B19" s="12" t="n"/>
      <c r="C19" s="12" t="n"/>
      <c r="D19" s="12" t="n"/>
      <c r="E19" s="16" t="n"/>
    </row>
    <row r="20">
      <c r="A20" s="15">
        <f>D12</f>
        <v/>
      </c>
      <c r="B20" s="12" t="n"/>
      <c r="C20" s="12" t="n"/>
      <c r="D20" s="12" t="n"/>
      <c r="E20" s="16" t="n"/>
    </row>
    <row r="22" ht="22" customHeight="1">
      <c r="A22" s="4" t="inlineStr">
        <is>
          <t>B2  Fristen &amp; Alter  (NETTOARBEITSTAGE, DATEDIF, WOCHENTAG, HEUTE)</t>
        </is>
      </c>
    </row>
    <row r="23">
      <c r="A23" s="13" t="inlineStr">
        <is>
          <t>Arbeitstage vom 1. Beleg bis zu dessen Monatsende  (NETTOARBEITSTAGE)</t>
        </is>
      </c>
      <c r="E23" s="12" t="n"/>
    </row>
    <row r="24">
      <c r="A24" s="13" t="inlineStr">
        <is>
          <t>Wochentag-Nummer des 1. Belegs (Mo=1)  (WOCHENTAG, Typ 2)</t>
        </is>
      </c>
      <c r="E24" s="12" t="n"/>
    </row>
    <row r="25">
      <c r="A25" s="13" t="inlineStr">
        <is>
          <t>Volle Jahre zwischen 1. und 2. Beleg  (DATEDIF "y")</t>
        </is>
      </c>
      <c r="E25" s="12" t="n"/>
    </row>
    <row r="26">
      <c r="A26" s="13" t="inlineStr">
        <is>
          <t>Alter des 1. Belegs in Tagen bis heute  (HEUTE)</t>
        </is>
      </c>
      <c r="E26" s="17" t="n"/>
    </row>
    <row r="28" ht="30" customHeight="1">
      <c r="A28" s="14" t="inlineStr">
        <is>
          <t>Abnahmetest: B1 Zeile 1 (21.07.2023): Jahr=2023, Monat=7, Wochentag="Fr", Monatsende=31.07.2023. B2: NETTOARBEITSTAGE=7, WOCHENTAG=5, DATEDIF=1.</t>
        </is>
      </c>
    </row>
  </sheetData>
  <mergeCells count="11">
    <mergeCell ref="A4:H4"/>
    <mergeCell ref="A23:D23"/>
    <mergeCell ref="A2:H2"/>
    <mergeCell ref="A26:D26"/>
    <mergeCell ref="A28:H28"/>
    <mergeCell ref="A25:D25"/>
    <mergeCell ref="A14:H14"/>
    <mergeCell ref="A24:D24"/>
    <mergeCell ref="A1:H1"/>
    <mergeCell ref="A6:H6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22" customWidth="1" min="4" max="4"/>
    <col width="14" customWidth="1" min="5" max="5"/>
    <col width="18" customWidth="1" min="6" max="6"/>
    <col width="18" customWidth="1" min="7" max="7"/>
    <col width="12" customWidth="1" min="8" max="8"/>
  </cols>
  <sheetData>
    <row r="1" ht="30" customHeight="1">
      <c r="A1" s="1" t="inlineStr">
        <is>
          <t>Teil C  ·  Logik &amp; Fehlerbehandlung</t>
        </is>
      </c>
    </row>
    <row r="2" ht="20" customHeight="1">
      <c r="A2" s="2" t="inlineStr">
        <is>
          <t>Bestellungen bewerten, klassifizieren und gegen #NV absichern  ·  Knoff-Hoff GmbH</t>
        </is>
      </c>
    </row>
    <row r="4" ht="44" customHeight="1">
      <c r="A4" s="3" t="inlineStr">
        <is>
          <t>Der Vertrieb will jede Bestellung bewertet sehen: Gesamtwert, Klasse (Gross/Mittel/Klein), Versandart und eine VIP-Markierung. Eine Bestellung hat eine unbekannte Artikelnummer - die darf das Blatt nicht mit #NV sprengen.</t>
        </is>
      </c>
    </row>
    <row r="6" ht="22" customHeight="1">
      <c r="A6" s="4" t="inlineStr">
        <is>
          <t>Artikel-Nachschlagetabelle</t>
        </is>
      </c>
    </row>
    <row r="7" ht="18" customHeight="1">
      <c r="A7" s="5" t="inlineStr">
        <is>
          <t>Nr</t>
        </is>
      </c>
      <c r="B7" s="5" t="inlineStr">
        <is>
          <t>Bezeichnung</t>
        </is>
      </c>
      <c r="C7" s="5" t="inlineStr">
        <is>
          <t>Einzelpreis</t>
        </is>
      </c>
    </row>
    <row r="8">
      <c r="A8" s="10" t="n">
        <v>1001</v>
      </c>
      <c r="B8" s="10" t="inlineStr">
        <is>
          <t>Kopierpapier A4</t>
        </is>
      </c>
      <c r="C8" s="11" t="n">
        <v>16.53</v>
      </c>
    </row>
    <row r="9">
      <c r="A9" s="10" t="n">
        <v>1002</v>
      </c>
      <c r="B9" s="10" t="inlineStr">
        <is>
          <t>Notizblock A5</t>
        </is>
      </c>
      <c r="C9" s="11" t="n">
        <v>2.09</v>
      </c>
    </row>
    <row r="10">
      <c r="A10" s="10" t="n">
        <v>1003</v>
      </c>
      <c r="B10" s="10" t="inlineStr">
        <is>
          <t>Kugelschreiber blau</t>
        </is>
      </c>
      <c r="C10" s="11" t="n">
        <v>7.96</v>
      </c>
    </row>
    <row r="11">
      <c r="A11" s="10" t="n">
        <v>1004</v>
      </c>
      <c r="B11" s="10" t="inlineStr">
        <is>
          <t>Textmarker-Set</t>
        </is>
      </c>
      <c r="C11" s="11" t="n">
        <v>6.75</v>
      </c>
    </row>
    <row r="12">
      <c r="A12" s="10" t="n">
        <v>1025</v>
      </c>
      <c r="B12" s="10" t="inlineStr">
        <is>
          <t>Werkzeugkoffer</t>
        </is>
      </c>
      <c r="C12" s="11" t="n">
        <v>306.65</v>
      </c>
    </row>
    <row r="13">
      <c r="A13" s="10" t="n">
        <v>1028</v>
      </c>
      <c r="B13" s="10" t="inlineStr">
        <is>
          <t>Reinigungsmittel</t>
        </is>
      </c>
      <c r="C13" s="11" t="n">
        <v>38.18</v>
      </c>
    </row>
    <row r="14">
      <c r="A14" s="10" t="n">
        <v>1041</v>
      </c>
      <c r="B14" s="10" t="inlineStr">
        <is>
          <t>Palettenhubwagen</t>
        </is>
      </c>
      <c r="C14" s="11" t="n">
        <v>65.18000000000001</v>
      </c>
    </row>
    <row r="15">
      <c r="A15" s="10" t="n">
        <v>1044</v>
      </c>
      <c r="B15" s="10" t="inlineStr">
        <is>
          <t>Bohrmaschine</t>
        </is>
      </c>
      <c r="C15" s="11" t="n">
        <v>6.63</v>
      </c>
    </row>
    <row r="17" ht="22" customHeight="1">
      <c r="A17" s="4" t="inlineStr">
        <is>
          <t>C1-C4  Bestellungen bewerten</t>
        </is>
      </c>
    </row>
    <row r="18" ht="44" customHeight="1">
      <c r="A18" s="3" t="inlineStr">
        <is>
          <t>Gesamt = Menge x Einzelpreis. Klasse (WENNS): ab 5000 "Gross", ab 1000 "Mittel", sonst "Klein". Versand (ERSTERWERT/SWITCH auf Klasse): Gross-&gt;"Spedition", Mittel-&gt;"Paket", Klein-&gt;"Brief". VIP (UND): Menge&gt;=20 UND Gesamt&gt;=5000. Bezeichnung per WENNFEHLER(SVERWEIS;"unbekannt").</t>
        </is>
      </c>
    </row>
    <row r="19" ht="18" customHeight="1">
      <c r="A19" s="5" t="inlineStr">
        <is>
          <t>ArtNr</t>
        </is>
      </c>
      <c r="B19" s="5" t="inlineStr">
        <is>
          <t>Menge</t>
        </is>
      </c>
      <c r="C19" s="5" t="inlineStr">
        <is>
          <t>Einzelpreis</t>
        </is>
      </c>
      <c r="D19" s="5" t="inlineStr">
        <is>
          <t>Bezeichnung (WENNFEHLER)</t>
        </is>
      </c>
      <c r="E19" s="5" t="inlineStr">
        <is>
          <t>Gesamt</t>
        </is>
      </c>
      <c r="F19" s="5" t="inlineStr">
        <is>
          <t>Klasse (WENNS)</t>
        </is>
      </c>
      <c r="G19" s="5" t="inlineStr">
        <is>
          <t>Versand (ERSTERWERT)</t>
        </is>
      </c>
      <c r="H19" s="5" t="inlineStr">
        <is>
          <t>VIP? (UND)</t>
        </is>
      </c>
    </row>
    <row r="20">
      <c r="A20" s="10" t="n">
        <v>1010</v>
      </c>
      <c r="B20" s="10" t="n">
        <v>20</v>
      </c>
      <c r="C20" s="11" t="n">
        <v>2.2</v>
      </c>
      <c r="D20" s="12" t="n"/>
      <c r="E20" s="18" t="n"/>
      <c r="F20" s="12" t="n"/>
      <c r="G20" s="12" t="n"/>
      <c r="H20" s="19" t="n"/>
    </row>
    <row r="21">
      <c r="A21" s="10" t="n">
        <v>1041</v>
      </c>
      <c r="B21" s="10" t="n">
        <v>33</v>
      </c>
      <c r="C21" s="11" t="n">
        <v>65.18000000000001</v>
      </c>
      <c r="D21" s="12" t="n"/>
      <c r="E21" s="18" t="n"/>
      <c r="F21" s="12" t="n"/>
      <c r="G21" s="12" t="n"/>
      <c r="H21" s="19" t="n"/>
    </row>
    <row r="22">
      <c r="A22" s="10" t="n">
        <v>1025</v>
      </c>
      <c r="B22" s="10" t="n">
        <v>24</v>
      </c>
      <c r="C22" s="11" t="n">
        <v>306.65</v>
      </c>
      <c r="D22" s="12" t="n"/>
      <c r="E22" s="18" t="n"/>
      <c r="F22" s="12" t="n"/>
      <c r="G22" s="12" t="n"/>
      <c r="H22" s="19" t="n"/>
    </row>
    <row r="23">
      <c r="A23" s="10" t="n">
        <v>1003</v>
      </c>
      <c r="B23" s="10" t="n">
        <v>50</v>
      </c>
      <c r="C23" s="11" t="n">
        <v>7.96</v>
      </c>
      <c r="D23" s="12" t="n"/>
      <c r="E23" s="18" t="n"/>
      <c r="F23" s="12" t="n"/>
      <c r="G23" s="12" t="n"/>
      <c r="H23" s="19" t="n"/>
    </row>
    <row r="24">
      <c r="A24" s="10" t="n">
        <v>9999</v>
      </c>
      <c r="B24" s="10" t="n">
        <v>5</v>
      </c>
      <c r="C24" s="11" t="n">
        <v>10</v>
      </c>
      <c r="D24" s="12" t="n"/>
      <c r="E24" s="18" t="n"/>
      <c r="F24" s="12" t="n"/>
      <c r="G24" s="12" t="n"/>
      <c r="H24" s="19" t="n"/>
    </row>
    <row r="26" ht="30" customHeight="1">
      <c r="A26" s="14" t="inlineStr">
        <is>
          <t>Abnahmetest: Zeile 1025/24 (306,65 €): Gesamt=7.359,60 €, Klasse="Gross", Versand="Spedition", VIP="VIP". Zeile 1041/33 (65,18 €): Gesamt=2.150,94 €, Klasse="Mittel", Versand="Paket", VIP="". Zeile 9999: Bezeichnung="unbekannt" (WENNFEHLER faengt #NV ab).</t>
        </is>
      </c>
    </row>
  </sheetData>
  <mergeCells count="7">
    <mergeCell ref="A18:H18"/>
    <mergeCell ref="A4:H4"/>
    <mergeCell ref="A26:H26"/>
    <mergeCell ref="A2:H2"/>
    <mergeCell ref="A1:H1"/>
    <mergeCell ref="A6:H6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30" customWidth="1" min="5" max="5"/>
    <col width="18" customWidth="1" min="6" max="6"/>
    <col width="10" customWidth="1" min="7" max="7"/>
    <col width="10" customWidth="1" min="8" max="8"/>
  </cols>
  <sheetData>
    <row r="1" ht="30" customHeight="1">
      <c r="A1" s="1" t="inlineStr">
        <is>
          <t>Teil D  ·  Bedingte Aggregation &amp; Statistik</t>
        </is>
      </c>
    </row>
    <row r="2" ht="20" customHeight="1">
      <c r="A2" s="2" t="inlineStr">
        <is>
          <t>Umsatz nach Region verdichten, ranken, dynamisch zaehlen  ·  Knoff-Hoff GmbH</t>
        </is>
      </c>
    </row>
    <row r="4" ht="30" customHeight="1">
      <c r="A4" s="3" t="inlineStr">
        <is>
          <t>Das Controlling will Kennzahlen je Region: Anzahl, Summe, Mittelwert, groesster und kleinster Beleg - und einen Rang je Beleg. TEILERGEBNIS zeigt, wie sich Filter auf die Summe auswirken.</t>
        </is>
      </c>
    </row>
    <row r="6" ht="22" customHeight="1">
      <c r="A6" s="4" t="inlineStr">
        <is>
          <t>Umsatz-Belege (Auszug)</t>
        </is>
      </c>
    </row>
    <row r="7" ht="18" customHeight="1">
      <c r="A7" s="5" t="inlineStr">
        <is>
          <t>Kunde</t>
        </is>
      </c>
      <c r="B7" s="5" t="inlineStr">
        <is>
          <t>Region</t>
        </is>
      </c>
      <c r="C7" s="5" t="inlineStr">
        <is>
          <t>Betrag</t>
        </is>
      </c>
      <c r="D7" s="5" t="inlineStr">
        <is>
          <t>Datum</t>
        </is>
      </c>
      <c r="E7" s="5" t="inlineStr">
        <is>
          <t>Rang (RANG)</t>
        </is>
      </c>
    </row>
    <row r="8">
      <c r="A8" s="10" t="inlineStr">
        <is>
          <t>Becker Logistik</t>
        </is>
      </c>
      <c r="B8" s="10" t="inlineStr">
        <is>
          <t>Ost</t>
        </is>
      </c>
      <c r="C8" s="11" t="n">
        <v>1036.45</v>
      </c>
      <c r="D8" s="15" t="n">
        <v>45128</v>
      </c>
      <c r="E8" s="19" t="n"/>
    </row>
    <row r="9">
      <c r="A9" s="10" t="inlineStr">
        <is>
          <t>Hoffmann GmbH</t>
        </is>
      </c>
      <c r="B9" s="10" t="inlineStr">
        <is>
          <t>Nord</t>
        </is>
      </c>
      <c r="C9" s="11" t="n">
        <v>11350.71</v>
      </c>
      <c r="D9" s="15" t="n">
        <v>45834</v>
      </c>
      <c r="E9" s="19" t="n"/>
    </row>
    <row r="10">
      <c r="A10" s="10" t="inlineStr">
        <is>
          <t>Haas &amp; Partner</t>
        </is>
      </c>
      <c r="B10" s="10" t="inlineStr">
        <is>
          <t>Süd</t>
        </is>
      </c>
      <c r="C10" s="11" t="n">
        <v>13572.15</v>
      </c>
      <c r="D10" s="15" t="n">
        <v>44957</v>
      </c>
      <c r="E10" s="19" t="n"/>
    </row>
    <row r="11">
      <c r="A11" s="10" t="inlineStr">
        <is>
          <t>Franke KG</t>
        </is>
      </c>
      <c r="B11" s="10" t="inlineStr">
        <is>
          <t>Ost</t>
        </is>
      </c>
      <c r="C11" s="11" t="n">
        <v>12132.18</v>
      </c>
      <c r="D11" s="15" t="n">
        <v>45364</v>
      </c>
      <c r="E11" s="19" t="n"/>
    </row>
    <row r="12">
      <c r="A12" s="10" t="inlineStr">
        <is>
          <t>Engel GmbH</t>
        </is>
      </c>
      <c r="B12" s="10" t="inlineStr">
        <is>
          <t>Süd</t>
        </is>
      </c>
      <c r="C12" s="11" t="n">
        <v>2336.2</v>
      </c>
      <c r="D12" s="15" t="n">
        <v>45923</v>
      </c>
      <c r="E12" s="19" t="n"/>
    </row>
    <row r="13">
      <c r="A13" s="10" t="inlineStr">
        <is>
          <t>Otto Bürobedarf</t>
        </is>
      </c>
      <c r="B13" s="10" t="inlineStr">
        <is>
          <t>Nord</t>
        </is>
      </c>
      <c r="C13" s="11" t="n">
        <v>10522.06</v>
      </c>
      <c r="D13" s="15" t="n">
        <v>45051</v>
      </c>
      <c r="E13" s="19" t="n"/>
    </row>
    <row r="14">
      <c r="A14" s="10" t="inlineStr">
        <is>
          <t>Baumann Vertrieb</t>
        </is>
      </c>
      <c r="B14" s="10" t="inlineStr">
        <is>
          <t>Süd</t>
        </is>
      </c>
      <c r="C14" s="11" t="n">
        <v>6037.5</v>
      </c>
      <c r="D14" s="15" t="n">
        <v>45511</v>
      </c>
      <c r="E14" s="19" t="n"/>
    </row>
    <row r="15">
      <c r="A15" s="10" t="inlineStr">
        <is>
          <t>Frank Industrie</t>
        </is>
      </c>
      <c r="B15" s="10" t="inlineStr">
        <is>
          <t>West</t>
        </is>
      </c>
      <c r="C15" s="11" t="n">
        <v>12985.95</v>
      </c>
      <c r="D15" s="15" t="n">
        <v>45470</v>
      </c>
      <c r="E15" s="19" t="n"/>
    </row>
    <row r="17" ht="22" customHeight="1">
      <c r="A17" s="4" t="inlineStr">
        <is>
          <t>D1  Kennzahlen je Region  (ZAEHLENWENNS, SUMMEWENNS, MITTELWERTWENNS, MAXWENNS, MINWENNS)</t>
        </is>
      </c>
    </row>
    <row r="18" ht="16" customHeight="1">
      <c r="A18" s="3" t="inlineStr">
        <is>
          <t>Region unten waehlen - alle Kennzahlen rechnen neu.</t>
        </is>
      </c>
    </row>
    <row r="19">
      <c r="A19" s="13" t="inlineStr">
        <is>
          <t>Region:</t>
        </is>
      </c>
      <c r="B19" s="19" t="n"/>
    </row>
    <row r="20">
      <c r="A20" s="13" t="inlineStr">
        <is>
          <t>Anzahl Belege (ZAEHLENWENNS)</t>
        </is>
      </c>
      <c r="E20" s="12" t="n"/>
    </row>
    <row r="21">
      <c r="A21" s="13" t="inlineStr">
        <is>
          <t>Summe Betrag (SUMMEWENNS)</t>
        </is>
      </c>
      <c r="E21" s="18" t="n"/>
    </row>
    <row r="22">
      <c r="A22" s="13" t="inlineStr">
        <is>
          <t>Mittelwert (MITTELWERTWENNS)</t>
        </is>
      </c>
      <c r="E22" s="18" t="n"/>
    </row>
    <row r="23">
      <c r="A23" s="13" t="inlineStr">
        <is>
          <t>Groesster Beleg (MAXWENNS)</t>
        </is>
      </c>
      <c r="E23" s="18" t="n"/>
    </row>
    <row r="24">
      <c r="A24" s="13" t="inlineStr">
        <is>
          <t>Kleinster Beleg (MINWENNS)</t>
        </is>
      </c>
      <c r="E24" s="18" t="n"/>
    </row>
    <row r="26" ht="22" customHeight="1">
      <c r="A26" s="4" t="inlineStr">
        <is>
          <t>D2  Gesamtsicht  (TEILERGEBNIS, SUMME)</t>
        </is>
      </c>
    </row>
    <row r="27">
      <c r="A27" s="13" t="inlineStr">
        <is>
          <t>Summe aller Betraege (TEILERGEBNIS 9 - zaehlt nur Sichtbares)</t>
        </is>
      </c>
      <c r="E27" s="18" t="n"/>
    </row>
    <row r="28">
      <c r="A28" s="13" t="inlineStr">
        <is>
          <t>Anzahl Belege gesamt (TEILERGEBNIS 2)</t>
        </is>
      </c>
      <c r="E28" s="12" t="n"/>
    </row>
    <row r="30" ht="30" customHeight="1">
      <c r="A30" s="14" t="inlineStr">
        <is>
          <t>Abnahmetest: Region "Süd": Anzahl=3, Summe=21.945,85 €, Max=13.572,15 €, Min=2.336,20 €. Rang des Belegs Hoffmann GmbH (11.350,71) = 4. TEILERGEBNIS-Summe gesamt = 69.973,20 €.</t>
        </is>
      </c>
    </row>
  </sheetData>
  <mergeCells count="15">
    <mergeCell ref="A18:H18"/>
    <mergeCell ref="A4:H4"/>
    <mergeCell ref="A23:D23"/>
    <mergeCell ref="A26:H26"/>
    <mergeCell ref="A27:D27"/>
    <mergeCell ref="A30:H30"/>
    <mergeCell ref="A22:D22"/>
    <mergeCell ref="A2:H2"/>
    <mergeCell ref="A20:D20"/>
    <mergeCell ref="A21:D21"/>
    <mergeCell ref="A24:D24"/>
    <mergeCell ref="A1:H1"/>
    <mergeCell ref="A28:D28"/>
    <mergeCell ref="A6:H6"/>
    <mergeCell ref="A17:H17"/>
  </mergeCells>
  <dataValidations count="1">
    <dataValidation sqref="B19" showDropDown="0" showInputMessage="0" showErrorMessage="0" allowBlank="1" type="list">
      <formula1>"Nord,Ost,Süd,West"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4" customWidth="1" min="4" max="4"/>
    <col width="34" customWidth="1" min="5" max="5"/>
    <col width="20" customWidth="1" min="6" max="6"/>
    <col width="14" customWidth="1" min="7" max="7"/>
    <col width="12" customWidth="1" min="8" max="8"/>
  </cols>
  <sheetData>
    <row r="1" ht="30" customHeight="1">
      <c r="A1" s="1" t="inlineStr">
        <is>
          <t>Teil E  ·  XVERWEIS - der moderne Verweis</t>
        </is>
      </c>
    </row>
    <row r="2" ht="20" customHeight="1">
      <c r="A2" s="2" t="inlineStr">
        <is>
          <t>Nachschlagen ohne Spaltenzaehlen, in beide Richtungen, mit Auffangwert  ·  Knoff-Hoff GmbH</t>
        </is>
      </c>
    </row>
    <row r="4" ht="30" customHeight="1">
      <c r="A4" s="3" t="inlineStr">
        <is>
          <t>XVERWEIS (XLOOKUP) loest SVERWEIS ab. Fuenf Staerken machen den Unterschied - die ueben Sie hier auf den echten Artikel- und Bestelldaten:</t>
        </is>
      </c>
    </row>
    <row r="5" ht="15" customHeight="1">
      <c r="A5" s="20" t="inlineStr">
        <is>
          <t xml:space="preserve">   •  exakte Suche ist der Standard (kein FALSCH-Argument noetig)</t>
        </is>
      </c>
    </row>
    <row r="6" ht="15" customHeight="1">
      <c r="A6" s="20" t="inlineStr">
        <is>
          <t xml:space="preserve">   •  kein Zaehlen der Spaltennummer - Sie waehlen den Rueckgabe-Bereich direkt</t>
        </is>
      </c>
    </row>
    <row r="7" ht="15" customHeight="1">
      <c r="A7" s="20" t="inlineStr">
        <is>
          <t xml:space="preserve">   •  Rueckgabe-Bereich frei waehlbar: auch LINKS vom Suchwert (Linksverweis)</t>
        </is>
      </c>
    </row>
    <row r="8" ht="15" customHeight="1">
      <c r="A8" s="20" t="inlineStr">
        <is>
          <t xml:space="preserve">   •  Suche von hinten moeglich (Suchmodus -1) - findet den letzten Treffer</t>
        </is>
      </c>
    </row>
    <row r="9" ht="15" customHeight="1">
      <c r="A9" s="20" t="inlineStr">
        <is>
          <t xml:space="preserve">   •  vierter Parameter 'wenn_nicht_gefunden' ersetzt das WENNFEHLER-Wrapping</t>
        </is>
      </c>
    </row>
    <row r="11" ht="22" customHeight="1">
      <c r="A11" s="4" t="inlineStr">
        <is>
          <t>Artikel-Stammdaten (Nachschlagetabelle)</t>
        </is>
      </c>
    </row>
    <row r="12" ht="18" customHeight="1">
      <c r="A12" s="5" t="inlineStr">
        <is>
          <t>Nr</t>
        </is>
      </c>
      <c r="B12" s="5" t="inlineStr">
        <is>
          <t>Bezeichnung</t>
        </is>
      </c>
      <c r="C12" s="5" t="inlineStr">
        <is>
          <t>Kategorie</t>
        </is>
      </c>
      <c r="D12" s="5" t="inlineStr">
        <is>
          <t>Einzelpreis</t>
        </is>
      </c>
    </row>
    <row r="13">
      <c r="A13" s="10" t="n">
        <v>1001</v>
      </c>
      <c r="B13" s="10" t="inlineStr">
        <is>
          <t>Kopierpapier A4</t>
        </is>
      </c>
      <c r="C13" s="10" t="inlineStr">
        <is>
          <t>Büromaterial</t>
        </is>
      </c>
      <c r="D13" s="11" t="n">
        <v>16.53</v>
      </c>
    </row>
    <row r="14">
      <c r="A14" s="10" t="n">
        <v>1002</v>
      </c>
      <c r="B14" s="10" t="inlineStr">
        <is>
          <t>Notizblock A5</t>
        </is>
      </c>
      <c r="C14" s="10" t="inlineStr">
        <is>
          <t>Büromaterial</t>
        </is>
      </c>
      <c r="D14" s="11" t="n">
        <v>2.09</v>
      </c>
    </row>
    <row r="15">
      <c r="A15" s="10" t="n">
        <v>1003</v>
      </c>
      <c r="B15" s="10" t="inlineStr">
        <is>
          <t>Kugelschreiber blau</t>
        </is>
      </c>
      <c r="C15" s="10" t="inlineStr">
        <is>
          <t>Büromaterial</t>
        </is>
      </c>
      <c r="D15" s="11" t="n">
        <v>7.96</v>
      </c>
    </row>
    <row r="16">
      <c r="A16" s="10" t="n">
        <v>1004</v>
      </c>
      <c r="B16" s="10" t="inlineStr">
        <is>
          <t>Textmarker-Set</t>
        </is>
      </c>
      <c r="C16" s="10" t="inlineStr">
        <is>
          <t>Büromaterial</t>
        </is>
      </c>
      <c r="D16" s="11" t="n">
        <v>6.75</v>
      </c>
    </row>
    <row r="17">
      <c r="A17" s="10" t="n">
        <v>1025</v>
      </c>
      <c r="B17" s="10" t="inlineStr">
        <is>
          <t>Werkzeugkoffer</t>
        </is>
      </c>
      <c r="C17" s="10" t="inlineStr">
        <is>
          <t>Werkzeug</t>
        </is>
      </c>
      <c r="D17" s="11" t="n">
        <v>306.65</v>
      </c>
    </row>
    <row r="18">
      <c r="A18" s="10" t="n">
        <v>1028</v>
      </c>
      <c r="B18" s="10" t="inlineStr">
        <is>
          <t>Reinigungsmittel</t>
        </is>
      </c>
      <c r="C18" s="10" t="inlineStr">
        <is>
          <t>Reinigung</t>
        </is>
      </c>
      <c r="D18" s="11" t="n">
        <v>38.18</v>
      </c>
    </row>
    <row r="19">
      <c r="A19" s="10" t="n">
        <v>1041</v>
      </c>
      <c r="B19" s="10" t="inlineStr">
        <is>
          <t>Palettenhubwagen</t>
        </is>
      </c>
      <c r="C19" s="10" t="inlineStr">
        <is>
          <t>Lager &amp; Logistik</t>
        </is>
      </c>
      <c r="D19" s="11" t="n">
        <v>65.18000000000001</v>
      </c>
    </row>
    <row r="20">
      <c r="A20" s="10" t="n">
        <v>1044</v>
      </c>
      <c r="B20" s="10" t="inlineStr">
        <is>
          <t>Bohrmaschine</t>
        </is>
      </c>
      <c r="C20" s="10" t="inlineStr">
        <is>
          <t>Werkzeug</t>
        </is>
      </c>
      <c r="D20" s="11" t="n">
        <v>6.63</v>
      </c>
    </row>
    <row r="22" ht="22" customHeight="1">
      <c r="A22" s="4" t="inlineStr">
        <is>
          <t>E1  Bestellungen anreichern  (XVERWEIS mit 'wenn_nicht_gefunden')</t>
        </is>
      </c>
    </row>
    <row r="23" ht="30" customHeight="1">
      <c r="A23" s="3">
        <f>XVERWEIS(Suchwert; Suchbereich; Rueckgabebereich; "unbekannt"). Eine Bestellung (9999) gibt es nicht - der 4. Parameter faengt das ab, ohne WENNFEHLER drumherum.</f>
        <v/>
      </c>
    </row>
    <row r="24" ht="18" customHeight="1">
      <c r="A24" s="5" t="inlineStr">
        <is>
          <t>ArtNr</t>
        </is>
      </c>
      <c r="B24" s="5" t="inlineStr">
        <is>
          <t>Menge</t>
        </is>
      </c>
      <c r="C24" s="5" t="inlineStr">
        <is>
          <t>Bezeichnung (XVERWEIS)</t>
        </is>
      </c>
      <c r="D24" s="5" t="inlineStr">
        <is>
          <t>Einzelpreis (XVERWEIS)</t>
        </is>
      </c>
    </row>
    <row r="25">
      <c r="A25" s="10" t="n">
        <v>1010</v>
      </c>
      <c r="B25" s="10" t="n">
        <v>20</v>
      </c>
      <c r="C25" s="12" t="n"/>
      <c r="D25" s="18" t="n"/>
    </row>
    <row r="26">
      <c r="A26" s="10" t="n">
        <v>1041</v>
      </c>
      <c r="B26" s="10" t="n">
        <v>33</v>
      </c>
      <c r="C26" s="12" t="n"/>
      <c r="D26" s="18" t="n"/>
    </row>
    <row r="27">
      <c r="A27" s="10" t="n">
        <v>1025</v>
      </c>
      <c r="B27" s="10" t="n">
        <v>24</v>
      </c>
      <c r="C27" s="12" t="n"/>
      <c r="D27" s="18" t="n"/>
    </row>
    <row r="28">
      <c r="A28" s="10" t="n">
        <v>1003</v>
      </c>
      <c r="B28" s="10" t="n">
        <v>50</v>
      </c>
      <c r="C28" s="12" t="n"/>
      <c r="D28" s="18" t="n"/>
    </row>
    <row r="29">
      <c r="A29" s="10" t="n">
        <v>9999</v>
      </c>
      <c r="B29" s="10" t="n">
        <v>5</v>
      </c>
      <c r="C29" s="12" t="n"/>
      <c r="D29" s="18" t="n"/>
    </row>
    <row r="31" ht="22" customHeight="1">
      <c r="A31" s="4" t="inlineStr">
        <is>
          <t>E2  Die Staerken einzeln  (Linksverweis, Suche von hinten, freier Rueckgabe-Bereich)</t>
        </is>
      </c>
    </row>
    <row r="32">
      <c r="A32" s="13" t="inlineStr">
        <is>
          <t>Preis zu Nr 1025 - exakte Suche ohne FALSCH, ohne Spaltennummer</t>
        </is>
      </c>
      <c r="E32" s="18" t="n"/>
    </row>
    <row r="33">
      <c r="A33" s="13" t="inlineStr">
        <is>
          <t>Linksverweis: Nr zur Bezeichnung "Palettenhubwagen" (Rueckgabe LINKS vom Suchwert)</t>
        </is>
      </c>
      <c r="E33" s="12" t="n"/>
    </row>
    <row r="34">
      <c r="A34" s="13" t="inlineStr">
        <is>
          <t>Letzter Werkzeug-Artikel - Suche von hinten (Suchmodus -1)</t>
        </is>
      </c>
      <c r="E34" s="12" t="n"/>
    </row>
    <row r="35">
      <c r="A35" s="13" t="inlineStr">
        <is>
          <t>Kategorie zu Nr 1003 - derselbe Suchbereich, andere Rueckgabe-Spalte</t>
        </is>
      </c>
      <c r="E35" s="12" t="n"/>
    </row>
    <row r="37" ht="22" customHeight="1">
      <c r="A37" s="4" t="inlineStr">
        <is>
          <t>E3  Zum Vergleich: dasselbe mit INDEX/VERGLEICH</t>
        </is>
      </c>
    </row>
    <row r="38" ht="28" customHeight="1">
      <c r="A38" s="3" t="inlineStr">
        <is>
          <t>Vor XVERWEIS war INDEX/VERGLEICH die Standard-Loesung fuer Linksverweise. VERGLEICH findet die Zeile, INDEX holt den Wert.</t>
        </is>
      </c>
    </row>
    <row r="39">
      <c r="A39" s="13" t="inlineStr">
        <is>
          <t>Nr zu "Palettenhubwagen" (INDEX/VERGLEICH) - vergleiche mit E2</t>
        </is>
      </c>
      <c r="E39" s="12" t="n"/>
    </row>
    <row r="41" ht="30" customHeight="1">
      <c r="A41" s="14" t="inlineStr">
        <is>
          <t>Abnahmetest: E1: 1041-&gt;"Palettenhubwagen"/65,18 €, 9999-&gt;"unbekannt" (kein #NV). E2: Preis 1025=306,65 €; Nr zu "Palettenhubwagen"=1041; letzter Werkzeug-Artikel="Bohrmaschine"; Kategorie 1003="Büromaterial". E3 liefert ebenfalls 1041.</t>
        </is>
      </c>
    </row>
  </sheetData>
  <mergeCells count="20">
    <mergeCell ref="A9:H9"/>
    <mergeCell ref="A35:D35"/>
    <mergeCell ref="A11:H11"/>
    <mergeCell ref="A1:H1"/>
    <mergeCell ref="A6:H6"/>
    <mergeCell ref="A7:H7"/>
    <mergeCell ref="A34:D34"/>
    <mergeCell ref="A39:D39"/>
    <mergeCell ref="A41:H41"/>
    <mergeCell ref="A37:H37"/>
    <mergeCell ref="A2:H2"/>
    <mergeCell ref="A5:H5"/>
    <mergeCell ref="A23:H23"/>
    <mergeCell ref="A8:H8"/>
    <mergeCell ref="A22:H22"/>
    <mergeCell ref="A4:H4"/>
    <mergeCell ref="A38:H38"/>
    <mergeCell ref="A33:D33"/>
    <mergeCell ref="A31:H31"/>
    <mergeCell ref="A32:D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4" customWidth="1" min="4" max="4"/>
    <col width="24" customWidth="1" min="5" max="5"/>
    <col width="20" customWidth="1" min="6" max="6"/>
    <col width="14" customWidth="1" min="7" max="7"/>
    <col width="12" customWidth="1" min="8" max="8"/>
  </cols>
  <sheetData>
    <row r="1" ht="30" customHeight="1">
      <c r="A1" s="1" t="inlineStr">
        <is>
          <t>Teil F  ·  Matrix &amp; dynamische Arrays</t>
        </is>
      </c>
    </row>
    <row r="2" ht="20" customHeight="1">
      <c r="A2" s="2" t="inlineStr">
        <is>
          <t>INDEX/VERGLEICH vertiefen - plus 365-Live-Auswertung  ·  Knoff-Hoff GmbH</t>
        </is>
      </c>
    </row>
    <row r="4" ht="44" customHeight="1">
      <c r="A4" s="3" t="inlineStr">
        <is>
          <t>Zum Abschluss: INDEX/VERGLEICH als flexibler Matrix-Klassiker. Der Bonus (nur Excel 365) baut mit FILTER/SORTIEREN/EINDEUTIG/SEQUENZ eine Live-Auswertung, die ganz ohne Ziehen mitwaechst.</t>
        </is>
      </c>
    </row>
    <row r="6" ht="22" customHeight="1">
      <c r="A6" s="4" t="inlineStr">
        <is>
          <t>Artikel-Stammdaten (Auszug)</t>
        </is>
      </c>
    </row>
    <row r="7" ht="18" customHeight="1">
      <c r="A7" s="5" t="inlineStr">
        <is>
          <t>Nr</t>
        </is>
      </c>
      <c r="B7" s="5" t="inlineStr">
        <is>
          <t>Bezeichnung</t>
        </is>
      </c>
      <c r="C7" s="5" t="inlineStr">
        <is>
          <t>Kategorie</t>
        </is>
      </c>
      <c r="D7" s="5" t="inlineStr">
        <is>
          <t>Einzelpreis</t>
        </is>
      </c>
    </row>
    <row r="8">
      <c r="A8" s="10" t="n">
        <v>1001</v>
      </c>
      <c r="B8" s="10" t="inlineStr">
        <is>
          <t>Kopierpapier A4</t>
        </is>
      </c>
      <c r="C8" s="10" t="inlineStr">
        <is>
          <t>Büromaterial</t>
        </is>
      </c>
      <c r="D8" s="11" t="n">
        <v>16.53</v>
      </c>
    </row>
    <row r="9">
      <c r="A9" s="10" t="n">
        <v>1002</v>
      </c>
      <c r="B9" s="10" t="inlineStr">
        <is>
          <t>Notizblock A5</t>
        </is>
      </c>
      <c r="C9" s="10" t="inlineStr">
        <is>
          <t>Büromaterial</t>
        </is>
      </c>
      <c r="D9" s="11" t="n">
        <v>2.09</v>
      </c>
    </row>
    <row r="10">
      <c r="A10" s="10" t="n">
        <v>1003</v>
      </c>
      <c r="B10" s="10" t="inlineStr">
        <is>
          <t>Kugelschreiber blau</t>
        </is>
      </c>
      <c r="C10" s="10" t="inlineStr">
        <is>
          <t>Büromaterial</t>
        </is>
      </c>
      <c r="D10" s="11" t="n">
        <v>7.96</v>
      </c>
    </row>
    <row r="11">
      <c r="A11" s="10" t="n">
        <v>1004</v>
      </c>
      <c r="B11" s="10" t="inlineStr">
        <is>
          <t>Textmarker-Set</t>
        </is>
      </c>
      <c r="C11" s="10" t="inlineStr">
        <is>
          <t>Büromaterial</t>
        </is>
      </c>
      <c r="D11" s="11" t="n">
        <v>6.75</v>
      </c>
    </row>
    <row r="12">
      <c r="A12" s="10" t="n">
        <v>1025</v>
      </c>
      <c r="B12" s="10" t="inlineStr">
        <is>
          <t>Werkzeugkoffer</t>
        </is>
      </c>
      <c r="C12" s="10" t="inlineStr">
        <is>
          <t>Werkzeug</t>
        </is>
      </c>
      <c r="D12" s="11" t="n">
        <v>306.65</v>
      </c>
    </row>
    <row r="13">
      <c r="A13" s="10" t="n">
        <v>1028</v>
      </c>
      <c r="B13" s="10" t="inlineStr">
        <is>
          <t>Reinigungsmittel</t>
        </is>
      </c>
      <c r="C13" s="10" t="inlineStr">
        <is>
          <t>Reinigung</t>
        </is>
      </c>
      <c r="D13" s="11" t="n">
        <v>38.18</v>
      </c>
    </row>
    <row r="14">
      <c r="A14" s="10" t="n">
        <v>1041</v>
      </c>
      <c r="B14" s="10" t="inlineStr">
        <is>
          <t>Palettenhubwagen</t>
        </is>
      </c>
      <c r="C14" s="10" t="inlineStr">
        <is>
          <t>Lager &amp; Logistik</t>
        </is>
      </c>
      <c r="D14" s="11" t="n">
        <v>65.18000000000001</v>
      </c>
    </row>
    <row r="15">
      <c r="A15" s="10" t="n">
        <v>1044</v>
      </c>
      <c r="B15" s="10" t="inlineStr">
        <is>
          <t>Bohrmaschine</t>
        </is>
      </c>
      <c r="C15" s="10" t="inlineStr">
        <is>
          <t>Werkzeug</t>
        </is>
      </c>
      <c r="D15" s="11" t="n">
        <v>6.63</v>
      </c>
    </row>
    <row r="17" ht="22" customHeight="1">
      <c r="A17" s="4" t="inlineStr">
        <is>
          <t>F1  Matrix-Klassiker  (INDEX/VERGLEICH)</t>
        </is>
      </c>
    </row>
    <row r="18" ht="28" customHeight="1">
      <c r="A18" s="3" t="inlineStr">
        <is>
          <t>VERGLEICH liefert die Position des Treffers, INDEX holt den Wert an dieser Position - die flexibelste Kombination vor XVERWEIS.</t>
        </is>
      </c>
    </row>
    <row r="19">
      <c r="A19" s="13" t="inlineStr">
        <is>
          <t>Bezeichnung zu Nr 1041 (INDEX/VERGLEICH)</t>
        </is>
      </c>
      <c r="E19" s="12" t="n"/>
    </row>
    <row r="20">
      <c r="A20" s="13" t="inlineStr">
        <is>
          <t>Preis zu Nr 1025 (INDEX/VERGLEICH)</t>
        </is>
      </c>
      <c r="E20" s="18" t="n"/>
    </row>
    <row r="21">
      <c r="A21" s="13" t="inlineStr">
        <is>
          <t>Position von Nr 1003 in der Liste (VERGLEICH allein)</t>
        </is>
      </c>
      <c r="E21" s="12" t="n"/>
    </row>
    <row r="23" ht="22" customHeight="1">
      <c r="A23" s="4" t="inlineStr">
        <is>
          <t>F2  Bonus fuer Schnelle - nur Excel 365  (FILTER, SORTIEREN, EINDEUTIG, SEQUENZ)</t>
        </is>
      </c>
    </row>
    <row r="24" ht="44" customHeight="1">
      <c r="A24" s="3" t="inlineStr">
        <is>
          <t>Diese Funktionen "spillen" - eine Formel fuellt mehrere Zellen. Setzen Sie sie in die markierte Startzelle; das Ergebnis breitet sich nach unten aus. (Ohne 365 erscheint evtl. #NAME oder #UEBERLAUF - dann ueberspringen.)</t>
        </is>
      </c>
    </row>
    <row r="25">
      <c r="A25" s="13" t="inlineStr">
        <is>
          <t>Alle Werkzeug-Artikel filtern (FILTER auf Kategorie="Werkzeug")</t>
        </is>
      </c>
      <c r="E25" s="12" t="n"/>
    </row>
    <row r="26">
      <c r="A26" s="13" t="inlineStr">
        <is>
          <t>Bezeichnungen alphabetisch sortieren (SORTIEREN)</t>
        </is>
      </c>
      <c r="E26" s="12" t="n"/>
    </row>
    <row r="27">
      <c r="A27" s="13" t="inlineStr">
        <is>
          <t>Eindeutige Kategorien (EINDEUTIG)</t>
        </is>
      </c>
      <c r="E27" s="12" t="n"/>
    </row>
    <row r="28">
      <c r="A28" s="13" t="inlineStr">
        <is>
          <t>Zahlen 1..5 erzeugen (SEQUENZ)</t>
        </is>
      </c>
      <c r="E28" s="12" t="n"/>
    </row>
    <row r="30" ht="30" customHeight="1">
      <c r="A30" s="14" t="inlineStr">
        <is>
          <t>Abnahmetest: F1: Bezeichnung 1041="Palettenhubwagen"; Preis 1025=306,65 €; Position von 1003 = 3. F2 (365): FILTER liefert Werkzeugkoffer &amp; Bohrmaschine, EINDEUTIG vier Kategorien, SEQUENZ 1-5.</t>
        </is>
      </c>
    </row>
  </sheetData>
  <mergeCells count="16">
    <mergeCell ref="A18:H18"/>
    <mergeCell ref="A4:H4"/>
    <mergeCell ref="A27:D27"/>
    <mergeCell ref="A30:H30"/>
    <mergeCell ref="A24:H24"/>
    <mergeCell ref="A2:H2"/>
    <mergeCell ref="A20:D20"/>
    <mergeCell ref="A21:D21"/>
    <mergeCell ref="A26:D26"/>
    <mergeCell ref="A25:D25"/>
    <mergeCell ref="A19:D19"/>
    <mergeCell ref="A1:H1"/>
    <mergeCell ref="A23:H23"/>
    <mergeCell ref="A28:D28"/>
    <mergeCell ref="A6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2026-06-24T10:51:20Z</dcterms:created>
  <dcterms:modified xsi:type="dcterms:W3CDTF">2026-06-24T10:51:20Z</dcterms:modified>
</cp:coreProperties>
</file>