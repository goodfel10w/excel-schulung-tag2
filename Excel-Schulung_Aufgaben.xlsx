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nis\uml\excel-schulung\"/>
    </mc:Choice>
  </mc:AlternateContent>
  <xr:revisionPtr revIDLastSave="0" documentId="13_ncr:1_{7B21D82D-4538-4D34-AB2A-BB38ACE2230A}" xr6:coauthVersionLast="47" xr6:coauthVersionMax="47" xr10:uidLastSave="{00000000-0000-0000-0000-000000000000}"/>
  <bookViews>
    <workbookView xWindow="28680" yWindow="-120" windowWidth="51840" windowHeight="21120" activeTab="3" xr2:uid="{00000000-000D-0000-FFFF-FFFF00000000}"/>
  </bookViews>
  <sheets>
    <sheet name="Uebersicht" sheetId="1" r:id="rId1"/>
    <sheet name="Artikel" sheetId="2" r:id="rId2"/>
    <sheet name="Bestellungen" sheetId="3" r:id="rId3"/>
    <sheet name="Umsatz" sheetId="4" r:id="rId4"/>
    <sheet name="Tickets" sheetId="5" r:id="rId5"/>
    <sheet name="Rohdaten" sheetId="6" r:id="rId6"/>
    <sheet name="Set 01" sheetId="7" r:id="rId7"/>
    <sheet name="Set 02" sheetId="8" r:id="rId8"/>
    <sheet name="Set 03" sheetId="9" r:id="rId9"/>
    <sheet name="Set 04" sheetId="10" r:id="rId10"/>
    <sheet name="Set 05" sheetId="11" r:id="rId11"/>
    <sheet name="Set 06" sheetId="12" r:id="rId12"/>
    <sheet name="Set 07" sheetId="13" r:id="rId13"/>
    <sheet name="Set 08" sheetId="14" r:id="rId14"/>
    <sheet name="Set 09" sheetId="15" r:id="rId15"/>
    <sheet name="Set 10" sheetId="16" r:id="rId16"/>
    <sheet name="Set 11" sheetId="17" r:id="rId17"/>
    <sheet name="Set 12" sheetId="18" r:id="rId18"/>
  </sheets>
  <definedNames>
    <definedName name="_xlnm._FilterDatabase" localSheetId="3" hidden="1">Umsatz!$E$1:$E$2001</definedName>
    <definedName name="Artikelbezeichnung">Artikel!$B$2:$B$51</definedName>
    <definedName name="Preis">Artikel!$D$2:$D$51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E21" i="8"/>
  <c r="F3" i="4" a="1"/>
  <c r="F3" i="4" s="1"/>
  <c r="F4" i="4" a="1"/>
  <c r="F4" i="4" s="1"/>
  <c r="F5" i="4" a="1"/>
  <c r="F5" i="4" s="1"/>
  <c r="F6" i="4" a="1"/>
  <c r="F6" i="4" s="1"/>
  <c r="F7" i="4" a="1"/>
  <c r="F7" i="4" s="1"/>
  <c r="F8" i="4" a="1"/>
  <c r="F8" i="4" s="1"/>
  <c r="F9" i="4" a="1"/>
  <c r="F9" i="4" s="1"/>
  <c r="F10" i="4" a="1"/>
  <c r="F10" i="4"/>
  <c r="F11" i="4" a="1"/>
  <c r="F11" i="4" s="1"/>
  <c r="F12" i="4" a="1"/>
  <c r="F12" i="4" s="1"/>
  <c r="F13" i="4" a="1"/>
  <c r="F13" i="4" s="1"/>
  <c r="F14" i="4" a="1"/>
  <c r="F14" i="4" s="1"/>
  <c r="F15" i="4" a="1"/>
  <c r="F15" i="4" s="1"/>
  <c r="F16" i="4" a="1"/>
  <c r="F16" i="4" s="1"/>
  <c r="F17" i="4" a="1"/>
  <c r="F17" i="4" s="1"/>
  <c r="F18" i="4" a="1"/>
  <c r="F18" i="4" s="1"/>
  <c r="F19" i="4" a="1"/>
  <c r="F19" i="4" s="1"/>
  <c r="F20" i="4" a="1"/>
  <c r="F20" i="4" s="1"/>
  <c r="F21" i="4" a="1"/>
  <c r="F21" i="4" s="1"/>
  <c r="F22" i="4" a="1"/>
  <c r="F22" i="4" s="1"/>
  <c r="F23" i="4" a="1"/>
  <c r="F23" i="4" s="1"/>
  <c r="F24" i="4" a="1"/>
  <c r="F24" i="4" s="1"/>
  <c r="F25" i="4" a="1"/>
  <c r="F25" i="4" s="1"/>
  <c r="F26" i="4" a="1"/>
  <c r="F26" i="4" s="1"/>
  <c r="F27" i="4" a="1"/>
  <c r="F27" i="4" s="1"/>
  <c r="F28" i="4" a="1"/>
  <c r="F28" i="4" s="1"/>
  <c r="F29" i="4" a="1"/>
  <c r="F29" i="4" s="1"/>
  <c r="F30" i="4" a="1"/>
  <c r="F30" i="4" s="1"/>
  <c r="F31" i="4" a="1"/>
  <c r="F31" i="4" s="1"/>
  <c r="F32" i="4" a="1"/>
  <c r="F32" i="4" s="1"/>
  <c r="F33" i="4" a="1"/>
  <c r="F33" i="4"/>
  <c r="F34" i="4" a="1"/>
  <c r="F34" i="4" s="1"/>
  <c r="F35" i="4" a="1"/>
  <c r="F35" i="4" s="1"/>
  <c r="F36" i="4" a="1"/>
  <c r="F36" i="4" s="1"/>
  <c r="F37" i="4" a="1"/>
  <c r="F37" i="4" s="1"/>
  <c r="F38" i="4" a="1"/>
  <c r="F38" i="4" s="1"/>
  <c r="F39" i="4" a="1"/>
  <c r="F39" i="4" s="1"/>
  <c r="F40" i="4" a="1"/>
  <c r="F40" i="4" s="1"/>
  <c r="F41" i="4" a="1"/>
  <c r="F41" i="4" s="1"/>
  <c r="F42" i="4" a="1"/>
  <c r="F42" i="4" s="1"/>
  <c r="F43" i="4" a="1"/>
  <c r="F43" i="4" s="1"/>
  <c r="F44" i="4" a="1"/>
  <c r="F44" i="4" s="1"/>
  <c r="F45" i="4" a="1"/>
  <c r="F45" i="4" s="1"/>
  <c r="F46" i="4" a="1"/>
  <c r="F46" i="4" s="1"/>
  <c r="F47" i="4" a="1"/>
  <c r="F47" i="4" s="1"/>
  <c r="F48" i="4" a="1"/>
  <c r="F48" i="4" s="1"/>
  <c r="F49" i="4" a="1"/>
  <c r="F49" i="4" s="1"/>
  <c r="F50" i="4" a="1"/>
  <c r="F50" i="4" s="1"/>
  <c r="F51" i="4" a="1"/>
  <c r="F51" i="4" s="1"/>
  <c r="F52" i="4" a="1"/>
  <c r="F52" i="4" s="1"/>
  <c r="F53" i="4" a="1"/>
  <c r="F53" i="4" s="1"/>
  <c r="F54" i="4" a="1"/>
  <c r="F54" i="4" s="1"/>
  <c r="F55" i="4" a="1"/>
  <c r="F55" i="4" s="1"/>
  <c r="F56" i="4" a="1"/>
  <c r="F56" i="4" s="1"/>
  <c r="F57" i="4" a="1"/>
  <c r="F57" i="4" s="1"/>
  <c r="F58" i="4" a="1"/>
  <c r="F58" i="4" s="1"/>
  <c r="F59" i="4" a="1"/>
  <c r="F59" i="4" s="1"/>
  <c r="F60" i="4" a="1"/>
  <c r="F60" i="4" s="1"/>
  <c r="F61" i="4" a="1"/>
  <c r="F61" i="4" s="1"/>
  <c r="F62" i="4" a="1"/>
  <c r="F62" i="4" s="1"/>
  <c r="F63" i="4" a="1"/>
  <c r="F63" i="4" s="1"/>
  <c r="F64" i="4" a="1"/>
  <c r="F64" i="4" s="1"/>
  <c r="F65" i="4" a="1"/>
  <c r="F65" i="4" s="1"/>
  <c r="F66" i="4" a="1"/>
  <c r="F66" i="4" s="1"/>
  <c r="F67" i="4" a="1"/>
  <c r="F67" i="4" s="1"/>
  <c r="F68" i="4" a="1"/>
  <c r="F68" i="4" s="1"/>
  <c r="F69" i="4" a="1"/>
  <c r="F69" i="4" s="1"/>
  <c r="F70" i="4" a="1"/>
  <c r="F70" i="4" s="1"/>
  <c r="F71" i="4" a="1"/>
  <c r="F71" i="4" s="1"/>
  <c r="F72" i="4" a="1"/>
  <c r="F72" i="4" s="1"/>
  <c r="F73" i="4" a="1"/>
  <c r="F73" i="4" s="1"/>
  <c r="F74" i="4" a="1"/>
  <c r="F74" i="4" s="1"/>
  <c r="F75" i="4" a="1"/>
  <c r="F75" i="4" s="1"/>
  <c r="F76" i="4" a="1"/>
  <c r="F76" i="4" s="1"/>
  <c r="F77" i="4" a="1"/>
  <c r="F77" i="4" s="1"/>
  <c r="F78" i="4" a="1"/>
  <c r="F78" i="4" s="1"/>
  <c r="F79" i="4" a="1"/>
  <c r="F79" i="4" s="1"/>
  <c r="F80" i="4" a="1"/>
  <c r="F80" i="4" s="1"/>
  <c r="F81" i="4" a="1"/>
  <c r="F81" i="4" s="1"/>
  <c r="F82" i="4" a="1"/>
  <c r="F82" i="4" s="1"/>
  <c r="F83" i="4" a="1"/>
  <c r="F83" i="4" s="1"/>
  <c r="F84" i="4" a="1"/>
  <c r="F84" i="4" s="1"/>
  <c r="F85" i="4" a="1"/>
  <c r="F85" i="4" s="1"/>
  <c r="F86" i="4" a="1"/>
  <c r="F86" i="4" s="1"/>
  <c r="F87" i="4" a="1"/>
  <c r="F87" i="4" s="1"/>
  <c r="F88" i="4" a="1"/>
  <c r="F88" i="4" s="1"/>
  <c r="F89" i="4" a="1"/>
  <c r="F89" i="4" s="1"/>
  <c r="F90" i="4" a="1"/>
  <c r="F90" i="4" s="1"/>
  <c r="F91" i="4" a="1"/>
  <c r="F91" i="4" s="1"/>
  <c r="F92" i="4" a="1"/>
  <c r="F92" i="4" s="1"/>
  <c r="F93" i="4" a="1"/>
  <c r="F93" i="4" s="1"/>
  <c r="F94" i="4" a="1"/>
  <c r="F94" i="4" s="1"/>
  <c r="F95" i="4" a="1"/>
  <c r="F95" i="4" s="1"/>
  <c r="F96" i="4" a="1"/>
  <c r="F96" i="4" s="1"/>
  <c r="F97" i="4" a="1"/>
  <c r="F97" i="4" s="1"/>
  <c r="F98" i="4" a="1"/>
  <c r="F98" i="4" s="1"/>
  <c r="F99" i="4" a="1"/>
  <c r="F99" i="4" s="1"/>
  <c r="F100" i="4" a="1"/>
  <c r="F100" i="4" s="1"/>
  <c r="F101" i="4" a="1"/>
  <c r="F101" i="4" s="1"/>
  <c r="F102" i="4" a="1"/>
  <c r="F102" i="4" s="1"/>
  <c r="F103" i="4" a="1"/>
  <c r="F103" i="4" s="1"/>
  <c r="F104" i="4" a="1"/>
  <c r="F104" i="4" s="1"/>
  <c r="F105" i="4" a="1"/>
  <c r="F105" i="4" s="1"/>
  <c r="F106" i="4" a="1"/>
  <c r="F106" i="4" s="1"/>
  <c r="F107" i="4" a="1"/>
  <c r="F107" i="4" s="1"/>
  <c r="F108" i="4" a="1"/>
  <c r="F108" i="4" s="1"/>
  <c r="F109" i="4" a="1"/>
  <c r="F109" i="4" s="1"/>
  <c r="F110" i="4" a="1"/>
  <c r="F110" i="4" s="1"/>
  <c r="F111" i="4" a="1"/>
  <c r="F111" i="4" s="1"/>
  <c r="F112" i="4" a="1"/>
  <c r="F112" i="4" s="1"/>
  <c r="F113" i="4" a="1"/>
  <c r="F113" i="4" s="1"/>
  <c r="F114" i="4" a="1"/>
  <c r="F114" i="4" s="1"/>
  <c r="F115" i="4" a="1"/>
  <c r="F115" i="4" s="1"/>
  <c r="F116" i="4" a="1"/>
  <c r="F116" i="4" s="1"/>
  <c r="F117" i="4" a="1"/>
  <c r="F117" i="4" s="1"/>
  <c r="F118" i="4" a="1"/>
  <c r="F118" i="4" s="1"/>
  <c r="F119" i="4" a="1"/>
  <c r="F119" i="4" s="1"/>
  <c r="F120" i="4" a="1"/>
  <c r="F120" i="4" s="1"/>
  <c r="F121" i="4" a="1"/>
  <c r="F121" i="4" s="1"/>
  <c r="F122" i="4" a="1"/>
  <c r="F122" i="4" s="1"/>
  <c r="F123" i="4" a="1"/>
  <c r="F123" i="4" s="1"/>
  <c r="F124" i="4" a="1"/>
  <c r="F124" i="4" s="1"/>
  <c r="F125" i="4" a="1"/>
  <c r="F125" i="4" s="1"/>
  <c r="F126" i="4" a="1"/>
  <c r="F126" i="4" s="1"/>
  <c r="F127" i="4" a="1"/>
  <c r="F127" i="4" s="1"/>
  <c r="F128" i="4" a="1"/>
  <c r="F128" i="4" s="1"/>
  <c r="F129" i="4" a="1"/>
  <c r="F129" i="4" s="1"/>
  <c r="F130" i="4" a="1"/>
  <c r="F130" i="4" s="1"/>
  <c r="F131" i="4" a="1"/>
  <c r="F131" i="4" s="1"/>
  <c r="F132" i="4" a="1"/>
  <c r="F132" i="4" s="1"/>
  <c r="F133" i="4" a="1"/>
  <c r="F133" i="4" s="1"/>
  <c r="F134" i="4" a="1"/>
  <c r="F134" i="4" s="1"/>
  <c r="F135" i="4" a="1"/>
  <c r="F135" i="4" s="1"/>
  <c r="F136" i="4" a="1"/>
  <c r="F136" i="4" s="1"/>
  <c r="F137" i="4" a="1"/>
  <c r="F137" i="4" s="1"/>
  <c r="F498" i="4" a="1"/>
  <c r="F498" i="4" s="1"/>
  <c r="F139" i="4" a="1"/>
  <c r="F139" i="4" s="1"/>
  <c r="F140" i="4" a="1"/>
  <c r="F140" i="4" s="1"/>
  <c r="F141" i="4" a="1"/>
  <c r="F141" i="4" s="1"/>
  <c r="F142" i="4" a="1"/>
  <c r="F142" i="4" s="1"/>
  <c r="F143" i="4" a="1"/>
  <c r="F143" i="4" s="1"/>
  <c r="F144" i="4" a="1"/>
  <c r="F144" i="4" s="1"/>
  <c r="F145" i="4" a="1"/>
  <c r="F145" i="4" s="1"/>
  <c r="F146" i="4" a="1"/>
  <c r="F146" i="4" s="1"/>
  <c r="F147" i="4" a="1"/>
  <c r="F147" i="4" s="1"/>
  <c r="F148" i="4" a="1"/>
  <c r="F148" i="4" s="1"/>
  <c r="F149" i="4" a="1"/>
  <c r="F149" i="4" s="1"/>
  <c r="F150" i="4" a="1"/>
  <c r="F150" i="4" s="1"/>
  <c r="F151" i="4" a="1"/>
  <c r="F151" i="4" s="1"/>
  <c r="F152" i="4" a="1"/>
  <c r="F152" i="4" s="1"/>
  <c r="F153" i="4" a="1"/>
  <c r="F153" i="4" s="1"/>
  <c r="F154" i="4" a="1"/>
  <c r="F154" i="4" s="1"/>
  <c r="F155" i="4" a="1"/>
  <c r="F155" i="4" s="1"/>
  <c r="F156" i="4" a="1"/>
  <c r="F156" i="4" s="1"/>
  <c r="F157" i="4" a="1"/>
  <c r="F157" i="4" s="1"/>
  <c r="F158" i="4" a="1"/>
  <c r="F158" i="4" s="1"/>
  <c r="F159" i="4" a="1"/>
  <c r="F159" i="4" s="1"/>
  <c r="F160" i="4" a="1"/>
  <c r="F160" i="4" s="1"/>
  <c r="F161" i="4" a="1"/>
  <c r="F161" i="4"/>
  <c r="F162" i="4" a="1"/>
  <c r="F162" i="4" s="1"/>
  <c r="F163" i="4" a="1"/>
  <c r="F163" i="4" s="1"/>
  <c r="F164" i="4" a="1"/>
  <c r="F164" i="4" s="1"/>
  <c r="F165" i="4" a="1"/>
  <c r="F165" i="4" s="1"/>
  <c r="F166" i="4" a="1"/>
  <c r="F166" i="4" s="1"/>
  <c r="F167" i="4" a="1"/>
  <c r="F167" i="4" s="1"/>
  <c r="F168" i="4" a="1"/>
  <c r="F168" i="4" s="1"/>
  <c r="F169" i="4" a="1"/>
  <c r="F169" i="4" s="1"/>
  <c r="F170" i="4" a="1"/>
  <c r="F170" i="4" s="1"/>
  <c r="F171" i="4" a="1"/>
  <c r="F171" i="4" s="1"/>
  <c r="F172" i="4" a="1"/>
  <c r="F172" i="4" s="1"/>
  <c r="F173" i="4" a="1"/>
  <c r="F173" i="4" s="1"/>
  <c r="F174" i="4" a="1"/>
  <c r="F174" i="4" s="1"/>
  <c r="F175" i="4" a="1"/>
  <c r="F175" i="4" s="1"/>
  <c r="F176" i="4" a="1"/>
  <c r="F176" i="4" s="1"/>
  <c r="F177" i="4" a="1"/>
  <c r="F177" i="4" s="1"/>
  <c r="F178" i="4" a="1"/>
  <c r="F178" i="4" s="1"/>
  <c r="F179" i="4" a="1"/>
  <c r="F179" i="4" s="1"/>
  <c r="F180" i="4" a="1"/>
  <c r="F180" i="4" s="1"/>
  <c r="F181" i="4" a="1"/>
  <c r="F181" i="4" s="1"/>
  <c r="F182" i="4" a="1"/>
  <c r="F182" i="4" s="1"/>
  <c r="F183" i="4" a="1"/>
  <c r="F183" i="4" s="1"/>
  <c r="F184" i="4" a="1"/>
  <c r="F184" i="4" s="1"/>
  <c r="F185" i="4" a="1"/>
  <c r="F185" i="4" s="1"/>
  <c r="F186" i="4" a="1"/>
  <c r="F186" i="4" s="1"/>
  <c r="F187" i="4" a="1"/>
  <c r="F187" i="4" s="1"/>
  <c r="F188" i="4" a="1"/>
  <c r="F188" i="4" s="1"/>
  <c r="F189" i="4" a="1"/>
  <c r="F189" i="4" s="1"/>
  <c r="F190" i="4" a="1"/>
  <c r="F190" i="4" s="1"/>
  <c r="F191" i="4" a="1"/>
  <c r="F191" i="4" s="1"/>
  <c r="F192" i="4" a="1"/>
  <c r="F192" i="4" s="1"/>
  <c r="F193" i="4" a="1"/>
  <c r="F193" i="4" s="1"/>
  <c r="F194" i="4" a="1"/>
  <c r="F194" i="4" s="1"/>
  <c r="F195" i="4" a="1"/>
  <c r="F195" i="4" s="1"/>
  <c r="F196" i="4" a="1"/>
  <c r="F196" i="4" s="1"/>
  <c r="F197" i="4" a="1"/>
  <c r="F197" i="4" s="1"/>
  <c r="F198" i="4" a="1"/>
  <c r="F198" i="4" s="1"/>
  <c r="F199" i="4" a="1"/>
  <c r="F199" i="4" s="1"/>
  <c r="F200" i="4" a="1"/>
  <c r="F200" i="4" s="1"/>
  <c r="F201" i="4" a="1"/>
  <c r="F201" i="4" s="1"/>
  <c r="F202" i="4" a="1"/>
  <c r="F202" i="4" s="1"/>
  <c r="F203" i="4" a="1"/>
  <c r="F203" i="4" s="1"/>
  <c r="F204" i="4" a="1"/>
  <c r="F204" i="4" s="1"/>
  <c r="F205" i="4" a="1"/>
  <c r="F205" i="4" s="1"/>
  <c r="F206" i="4" a="1"/>
  <c r="F206" i="4" s="1"/>
  <c r="F207" i="4" a="1"/>
  <c r="F207" i="4" s="1"/>
  <c r="F208" i="4" a="1"/>
  <c r="F208" i="4" s="1"/>
  <c r="F209" i="4" a="1"/>
  <c r="F209" i="4" s="1"/>
  <c r="F210" i="4" a="1"/>
  <c r="F210" i="4" s="1"/>
  <c r="F211" i="4" a="1"/>
  <c r="F211" i="4" s="1"/>
  <c r="F212" i="4" a="1"/>
  <c r="F212" i="4" s="1"/>
  <c r="F213" i="4" a="1"/>
  <c r="F213" i="4" s="1"/>
  <c r="F214" i="4" a="1"/>
  <c r="F214" i="4" s="1"/>
  <c r="F215" i="4" a="1"/>
  <c r="F215" i="4" s="1"/>
  <c r="F216" i="4" a="1"/>
  <c r="F216" i="4" s="1"/>
  <c r="F217" i="4" a="1"/>
  <c r="F217" i="4" s="1"/>
  <c r="F218" i="4" a="1"/>
  <c r="F218" i="4" s="1"/>
  <c r="F219" i="4" a="1"/>
  <c r="F219" i="4" s="1"/>
  <c r="F220" i="4" a="1"/>
  <c r="F220" i="4" s="1"/>
  <c r="F221" i="4" a="1"/>
  <c r="F221" i="4" s="1"/>
  <c r="F222" i="4" a="1"/>
  <c r="F222" i="4" s="1"/>
  <c r="F223" i="4" a="1"/>
  <c r="F223" i="4" s="1"/>
  <c r="F224" i="4" a="1"/>
  <c r="F224" i="4" s="1"/>
  <c r="F225" i="4" a="1"/>
  <c r="F225" i="4" s="1"/>
  <c r="F226" i="4" a="1"/>
  <c r="F226" i="4" s="1"/>
  <c r="F227" i="4" a="1"/>
  <c r="F227" i="4" s="1"/>
  <c r="F228" i="4" a="1"/>
  <c r="F228" i="4" s="1"/>
  <c r="F229" i="4" a="1"/>
  <c r="F229" i="4" s="1"/>
  <c r="F230" i="4" a="1"/>
  <c r="F230" i="4" s="1"/>
  <c r="F231" i="4" a="1"/>
  <c r="F231" i="4" s="1"/>
  <c r="F232" i="4" a="1"/>
  <c r="F232" i="4" s="1"/>
  <c r="F233" i="4" a="1"/>
  <c r="F233" i="4" s="1"/>
  <c r="F234" i="4" a="1"/>
  <c r="F234" i="4" s="1"/>
  <c r="F235" i="4" a="1"/>
  <c r="F235" i="4" s="1"/>
  <c r="F236" i="4" a="1"/>
  <c r="F236" i="4" s="1"/>
  <c r="F237" i="4" a="1"/>
  <c r="F237" i="4" s="1"/>
  <c r="F238" i="4" a="1"/>
  <c r="F238" i="4" s="1"/>
  <c r="F239" i="4" a="1"/>
  <c r="F239" i="4" s="1"/>
  <c r="F240" i="4" a="1"/>
  <c r="F240" i="4" s="1"/>
  <c r="F241" i="4" a="1"/>
  <c r="F241" i="4" s="1"/>
  <c r="F242" i="4" a="1"/>
  <c r="F242" i="4" s="1"/>
  <c r="F243" i="4" a="1"/>
  <c r="F243" i="4" s="1"/>
  <c r="F244" i="4" a="1"/>
  <c r="F244" i="4" s="1"/>
  <c r="F245" i="4" a="1"/>
  <c r="F245" i="4" s="1"/>
  <c r="F246" i="4" a="1"/>
  <c r="F246" i="4" s="1"/>
  <c r="F247" i="4" a="1"/>
  <c r="F247" i="4" s="1"/>
  <c r="F248" i="4" a="1"/>
  <c r="F248" i="4" s="1"/>
  <c r="F249" i="4" a="1"/>
  <c r="F249" i="4" s="1"/>
  <c r="F250" i="4" a="1"/>
  <c r="F250" i="4" s="1"/>
  <c r="F251" i="4" a="1"/>
  <c r="F251" i="4" s="1"/>
  <c r="F252" i="4" a="1"/>
  <c r="F252" i="4" s="1"/>
  <c r="F253" i="4" a="1"/>
  <c r="F253" i="4" s="1"/>
  <c r="F254" i="4" a="1"/>
  <c r="F254" i="4" s="1"/>
  <c r="F255" i="4" a="1"/>
  <c r="F255" i="4" s="1"/>
  <c r="F256" i="4" a="1"/>
  <c r="F256" i="4" s="1"/>
  <c r="F257" i="4" a="1"/>
  <c r="F257" i="4" s="1"/>
  <c r="F258" i="4" a="1"/>
  <c r="F258" i="4" s="1"/>
  <c r="F259" i="4" a="1"/>
  <c r="F259" i="4" s="1"/>
  <c r="F260" i="4" a="1"/>
  <c r="F260" i="4" s="1"/>
  <c r="F261" i="4" a="1"/>
  <c r="F261" i="4" s="1"/>
  <c r="F262" i="4" a="1"/>
  <c r="F262" i="4" s="1"/>
  <c r="F263" i="4" a="1"/>
  <c r="F263" i="4" s="1"/>
  <c r="F264" i="4" a="1"/>
  <c r="F264" i="4" s="1"/>
  <c r="F265" i="4" a="1"/>
  <c r="F265" i="4" s="1"/>
  <c r="F266" i="4" a="1"/>
  <c r="F266" i="4" s="1"/>
  <c r="F267" i="4" a="1"/>
  <c r="F267" i="4" s="1"/>
  <c r="F268" i="4" a="1"/>
  <c r="F268" i="4" s="1"/>
  <c r="F269" i="4" a="1"/>
  <c r="F269" i="4" s="1"/>
  <c r="F270" i="4" a="1"/>
  <c r="F270" i="4" s="1"/>
  <c r="F271" i="4" a="1"/>
  <c r="F271" i="4" s="1"/>
  <c r="F272" i="4" a="1"/>
  <c r="F272" i="4" s="1"/>
  <c r="F273" i="4" a="1"/>
  <c r="F273" i="4" s="1"/>
  <c r="F274" i="4" a="1"/>
  <c r="F274" i="4" s="1"/>
  <c r="F275" i="4" a="1"/>
  <c r="F275" i="4" s="1"/>
  <c r="F276" i="4" a="1"/>
  <c r="F276" i="4" s="1"/>
  <c r="F277" i="4" a="1"/>
  <c r="F277" i="4" s="1"/>
  <c r="F278" i="4" a="1"/>
  <c r="F278" i="4" s="1"/>
  <c r="F279" i="4" a="1"/>
  <c r="F279" i="4" s="1"/>
  <c r="F280" i="4" a="1"/>
  <c r="F280" i="4" s="1"/>
  <c r="F281" i="4" a="1"/>
  <c r="F281" i="4" s="1"/>
  <c r="F282" i="4" a="1"/>
  <c r="F282" i="4" s="1"/>
  <c r="F283" i="4" a="1"/>
  <c r="F283" i="4" s="1"/>
  <c r="F284" i="4" a="1"/>
  <c r="F284" i="4" s="1"/>
  <c r="F285" i="4" a="1"/>
  <c r="F285" i="4" s="1"/>
  <c r="F286" i="4" a="1"/>
  <c r="F286" i="4" s="1"/>
  <c r="F287" i="4" a="1"/>
  <c r="F287" i="4" s="1"/>
  <c r="F288" i="4" a="1"/>
  <c r="F288" i="4" s="1"/>
  <c r="F289" i="4" a="1"/>
  <c r="F289" i="4"/>
  <c r="F290" i="4" a="1"/>
  <c r="F290" i="4" s="1"/>
  <c r="F291" i="4" a="1"/>
  <c r="F291" i="4" s="1"/>
  <c r="F292" i="4" a="1"/>
  <c r="F292" i="4" s="1"/>
  <c r="F293" i="4" a="1"/>
  <c r="F293" i="4" s="1"/>
  <c r="F294" i="4" a="1"/>
  <c r="F294" i="4" s="1"/>
  <c r="F295" i="4" a="1"/>
  <c r="F295" i="4" s="1"/>
  <c r="F296" i="4" a="1"/>
  <c r="F296" i="4" s="1"/>
  <c r="F297" i="4" a="1"/>
  <c r="F297" i="4" s="1"/>
  <c r="F298" i="4" a="1"/>
  <c r="F298" i="4" s="1"/>
  <c r="F299" i="4" a="1"/>
  <c r="F299" i="4" s="1"/>
  <c r="F300" i="4" a="1"/>
  <c r="F300" i="4" s="1"/>
  <c r="F301" i="4" a="1"/>
  <c r="F301" i="4" s="1"/>
  <c r="F302" i="4" a="1"/>
  <c r="F302" i="4" s="1"/>
  <c r="F303" i="4" a="1"/>
  <c r="F303" i="4" s="1"/>
  <c r="F304" i="4" a="1"/>
  <c r="F304" i="4" s="1"/>
  <c r="F305" i="4" a="1"/>
  <c r="F305" i="4" s="1"/>
  <c r="F306" i="4" a="1"/>
  <c r="F306" i="4" s="1"/>
  <c r="F307" i="4" a="1"/>
  <c r="F307" i="4" s="1"/>
  <c r="F308" i="4" a="1"/>
  <c r="F308" i="4" s="1"/>
  <c r="F309" i="4" a="1"/>
  <c r="F309" i="4" s="1"/>
  <c r="F310" i="4" a="1"/>
  <c r="F310" i="4" s="1"/>
  <c r="F311" i="4" a="1"/>
  <c r="F311" i="4" s="1"/>
  <c r="F312" i="4" a="1"/>
  <c r="F312" i="4" s="1"/>
  <c r="F313" i="4" a="1"/>
  <c r="F313" i="4" s="1"/>
  <c r="F314" i="4" a="1"/>
  <c r="F314" i="4" s="1"/>
  <c r="F315" i="4" a="1"/>
  <c r="F315" i="4" s="1"/>
  <c r="F316" i="4" a="1"/>
  <c r="F316" i="4" s="1"/>
  <c r="F317" i="4" a="1"/>
  <c r="F317" i="4" s="1"/>
  <c r="F318" i="4" a="1"/>
  <c r="F318" i="4" s="1"/>
  <c r="F319" i="4" a="1"/>
  <c r="F319" i="4" s="1"/>
  <c r="F320" i="4" a="1"/>
  <c r="F320" i="4" s="1"/>
  <c r="F321" i="4" a="1"/>
  <c r="F321" i="4" s="1"/>
  <c r="F322" i="4" a="1"/>
  <c r="F322" i="4" s="1"/>
  <c r="F323" i="4" a="1"/>
  <c r="F323" i="4" s="1"/>
  <c r="F324" i="4" a="1"/>
  <c r="F324" i="4" s="1"/>
  <c r="F325" i="4" a="1"/>
  <c r="F325" i="4" s="1"/>
  <c r="F326" i="4" a="1"/>
  <c r="F326" i="4" s="1"/>
  <c r="F327" i="4" a="1"/>
  <c r="F327" i="4" s="1"/>
  <c r="F328" i="4" a="1"/>
  <c r="F328" i="4" s="1"/>
  <c r="F329" i="4" a="1"/>
  <c r="F329" i="4" s="1"/>
  <c r="F330" i="4" a="1"/>
  <c r="F330" i="4" s="1"/>
  <c r="F331" i="4" a="1"/>
  <c r="F331" i="4" s="1"/>
  <c r="F332" i="4" a="1"/>
  <c r="F332" i="4" s="1"/>
  <c r="F333" i="4" a="1"/>
  <c r="F333" i="4" s="1"/>
  <c r="F334" i="4" a="1"/>
  <c r="F334" i="4" s="1"/>
  <c r="F335" i="4" a="1"/>
  <c r="F335" i="4" s="1"/>
  <c r="F336" i="4" a="1"/>
  <c r="F336" i="4" s="1"/>
  <c r="F337" i="4" a="1"/>
  <c r="F337" i="4" s="1"/>
  <c r="F338" i="4" a="1"/>
  <c r="F338" i="4" s="1"/>
  <c r="F339" i="4" a="1"/>
  <c r="F339" i="4" s="1"/>
  <c r="F340" i="4" a="1"/>
  <c r="F340" i="4" s="1"/>
  <c r="F341" i="4" a="1"/>
  <c r="F341" i="4" s="1"/>
  <c r="F342" i="4" a="1"/>
  <c r="F342" i="4" s="1"/>
  <c r="F343" i="4" a="1"/>
  <c r="F343" i="4" s="1"/>
  <c r="F344" i="4" a="1"/>
  <c r="F344" i="4" s="1"/>
  <c r="F345" i="4" a="1"/>
  <c r="F345" i="4" s="1"/>
  <c r="F346" i="4" a="1"/>
  <c r="F346" i="4" s="1"/>
  <c r="F347" i="4" a="1"/>
  <c r="F347" i="4" s="1"/>
  <c r="F348" i="4" a="1"/>
  <c r="F348" i="4" s="1"/>
  <c r="F349" i="4" a="1"/>
  <c r="F349" i="4" s="1"/>
  <c r="F350" i="4" a="1"/>
  <c r="F350" i="4" s="1"/>
  <c r="F351" i="4" a="1"/>
  <c r="F351" i="4" s="1"/>
  <c r="F352" i="4" a="1"/>
  <c r="F352" i="4" s="1"/>
  <c r="F353" i="4" a="1"/>
  <c r="F353" i="4" s="1"/>
  <c r="F354" i="4" a="1"/>
  <c r="F354" i="4" s="1"/>
  <c r="F355" i="4" a="1"/>
  <c r="F355" i="4" s="1"/>
  <c r="F356" i="4" a="1"/>
  <c r="F356" i="4" s="1"/>
  <c r="F357" i="4" a="1"/>
  <c r="F357" i="4" s="1"/>
  <c r="F358" i="4" a="1"/>
  <c r="F358" i="4" s="1"/>
  <c r="F359" i="4" a="1"/>
  <c r="F359" i="4" s="1"/>
  <c r="F360" i="4" a="1"/>
  <c r="F360" i="4" s="1"/>
  <c r="F361" i="4" a="1"/>
  <c r="F361" i="4" s="1"/>
  <c r="F362" i="4" a="1"/>
  <c r="F362" i="4" s="1"/>
  <c r="F363" i="4" a="1"/>
  <c r="F363" i="4" s="1"/>
  <c r="F364" i="4" a="1"/>
  <c r="F364" i="4" s="1"/>
  <c r="F365" i="4" a="1"/>
  <c r="F365" i="4" s="1"/>
  <c r="F366" i="4" a="1"/>
  <c r="F366" i="4" s="1"/>
  <c r="F367" i="4" a="1"/>
  <c r="F367" i="4" s="1"/>
  <c r="F368" i="4" a="1"/>
  <c r="F368" i="4" s="1"/>
  <c r="F369" i="4" a="1"/>
  <c r="F369" i="4" s="1"/>
  <c r="F370" i="4" a="1"/>
  <c r="F370" i="4" s="1"/>
  <c r="F371" i="4" a="1"/>
  <c r="F371" i="4" s="1"/>
  <c r="F372" i="4" a="1"/>
  <c r="F372" i="4" s="1"/>
  <c r="F373" i="4" a="1"/>
  <c r="F373" i="4" s="1"/>
  <c r="F374" i="4" a="1"/>
  <c r="F374" i="4" s="1"/>
  <c r="F375" i="4" a="1"/>
  <c r="F375" i="4" s="1"/>
  <c r="F376" i="4" a="1"/>
  <c r="F376" i="4" s="1"/>
  <c r="F377" i="4" a="1"/>
  <c r="F377" i="4" s="1"/>
  <c r="F378" i="4" a="1"/>
  <c r="F378" i="4" s="1"/>
  <c r="F379" i="4" a="1"/>
  <c r="F379" i="4" s="1"/>
  <c r="F380" i="4" a="1"/>
  <c r="F380" i="4" s="1"/>
  <c r="F381" i="4" a="1"/>
  <c r="F381" i="4" s="1"/>
  <c r="F382" i="4" a="1"/>
  <c r="F382" i="4" s="1"/>
  <c r="F383" i="4" a="1"/>
  <c r="F383" i="4" s="1"/>
  <c r="F384" i="4" a="1"/>
  <c r="F384" i="4" s="1"/>
  <c r="F385" i="4" a="1"/>
  <c r="F385" i="4" s="1"/>
  <c r="F386" i="4" a="1"/>
  <c r="F386" i="4" s="1"/>
  <c r="F387" i="4" a="1"/>
  <c r="F387" i="4" s="1"/>
  <c r="F388" i="4" a="1"/>
  <c r="F388" i="4" s="1"/>
  <c r="F389" i="4" a="1"/>
  <c r="F389" i="4" s="1"/>
  <c r="F390" i="4" a="1"/>
  <c r="F390" i="4" s="1"/>
  <c r="F391" i="4" a="1"/>
  <c r="F391" i="4" s="1"/>
  <c r="F392" i="4" a="1"/>
  <c r="F392" i="4" s="1"/>
  <c r="F393" i="4" a="1"/>
  <c r="F393" i="4"/>
  <c r="F394" i="4" a="1"/>
  <c r="F394" i="4" s="1"/>
  <c r="F395" i="4" a="1"/>
  <c r="F395" i="4" s="1"/>
  <c r="F396" i="4" a="1"/>
  <c r="F396" i="4" s="1"/>
  <c r="F397" i="4" a="1"/>
  <c r="F397" i="4" s="1"/>
  <c r="F398" i="4" a="1"/>
  <c r="F398" i="4" s="1"/>
  <c r="F399" i="4" a="1"/>
  <c r="F399" i="4" s="1"/>
  <c r="F400" i="4" a="1"/>
  <c r="F400" i="4" s="1"/>
  <c r="F401" i="4" a="1"/>
  <c r="F401" i="4" s="1"/>
  <c r="F402" i="4" a="1"/>
  <c r="F402" i="4" s="1"/>
  <c r="F403" i="4" a="1"/>
  <c r="F403" i="4" s="1"/>
  <c r="F404" i="4" a="1"/>
  <c r="F404" i="4" s="1"/>
  <c r="F405" i="4" a="1"/>
  <c r="F405" i="4" s="1"/>
  <c r="F406" i="4" a="1"/>
  <c r="F406" i="4" s="1"/>
  <c r="F407" i="4" a="1"/>
  <c r="F407" i="4" s="1"/>
  <c r="F408" i="4" a="1"/>
  <c r="F408" i="4" s="1"/>
  <c r="F409" i="4" a="1"/>
  <c r="F409" i="4" s="1"/>
  <c r="F410" i="4" a="1"/>
  <c r="F410" i="4" s="1"/>
  <c r="F411" i="4" a="1"/>
  <c r="F411" i="4" s="1"/>
  <c r="F412" i="4" a="1"/>
  <c r="F412" i="4" s="1"/>
  <c r="F413" i="4" a="1"/>
  <c r="F413" i="4" s="1"/>
  <c r="F414" i="4" a="1"/>
  <c r="F414" i="4" s="1"/>
  <c r="F415" i="4" a="1"/>
  <c r="F415" i="4" s="1"/>
  <c r="F416" i="4" a="1"/>
  <c r="F416" i="4" s="1"/>
  <c r="F417" i="4" a="1"/>
  <c r="F417" i="4" s="1"/>
  <c r="F418" i="4" a="1"/>
  <c r="F418" i="4" s="1"/>
  <c r="F419" i="4" a="1"/>
  <c r="F419" i="4" s="1"/>
  <c r="F420" i="4" a="1"/>
  <c r="F420" i="4" s="1"/>
  <c r="F421" i="4" a="1"/>
  <c r="F421" i="4" s="1"/>
  <c r="F422" i="4" a="1"/>
  <c r="F422" i="4" s="1"/>
  <c r="F423" i="4" a="1"/>
  <c r="F423" i="4" s="1"/>
  <c r="F424" i="4" a="1"/>
  <c r="F424" i="4" s="1"/>
  <c r="F425" i="4" a="1"/>
  <c r="F425" i="4" s="1"/>
  <c r="F426" i="4" a="1"/>
  <c r="F426" i="4" s="1"/>
  <c r="F427" i="4" a="1"/>
  <c r="F427" i="4" s="1"/>
  <c r="F428" i="4" a="1"/>
  <c r="F428" i="4" s="1"/>
  <c r="F429" i="4" a="1"/>
  <c r="F429" i="4" s="1"/>
  <c r="F430" i="4" a="1"/>
  <c r="F430" i="4" s="1"/>
  <c r="F431" i="4" a="1"/>
  <c r="F431" i="4" s="1"/>
  <c r="F432" i="4" a="1"/>
  <c r="F432" i="4" s="1"/>
  <c r="F433" i="4" a="1"/>
  <c r="F433" i="4"/>
  <c r="F434" i="4" a="1"/>
  <c r="F434" i="4" s="1"/>
  <c r="F435" i="4" a="1"/>
  <c r="F435" i="4" s="1"/>
  <c r="F436" i="4" a="1"/>
  <c r="F436" i="4" s="1"/>
  <c r="F437" i="4" a="1"/>
  <c r="F437" i="4" s="1"/>
  <c r="F438" i="4" a="1"/>
  <c r="F438" i="4" s="1"/>
  <c r="F439" i="4" a="1"/>
  <c r="F439" i="4" s="1"/>
  <c r="F440" i="4" a="1"/>
  <c r="F440" i="4" s="1"/>
  <c r="F441" i="4" a="1"/>
  <c r="F441" i="4" s="1"/>
  <c r="F442" i="4" a="1"/>
  <c r="F442" i="4" s="1"/>
  <c r="F443" i="4" a="1"/>
  <c r="F443" i="4" s="1"/>
  <c r="F444" i="4" a="1"/>
  <c r="F444" i="4" s="1"/>
  <c r="F445" i="4" a="1"/>
  <c r="F445" i="4" s="1"/>
  <c r="F446" i="4" a="1"/>
  <c r="F446" i="4" s="1"/>
  <c r="F447" i="4" a="1"/>
  <c r="F447" i="4" s="1"/>
  <c r="F448" i="4" a="1"/>
  <c r="F448" i="4" s="1"/>
  <c r="F449" i="4" a="1"/>
  <c r="F449" i="4" s="1"/>
  <c r="F450" i="4" a="1"/>
  <c r="F450" i="4" s="1"/>
  <c r="F451" i="4" a="1"/>
  <c r="F451" i="4" s="1"/>
  <c r="F452" i="4" a="1"/>
  <c r="F452" i="4" s="1"/>
  <c r="F453" i="4" a="1"/>
  <c r="F453" i="4" s="1"/>
  <c r="F454" i="4" a="1"/>
  <c r="F454" i="4" s="1"/>
  <c r="F455" i="4" a="1"/>
  <c r="F455" i="4" s="1"/>
  <c r="F456" i="4" a="1"/>
  <c r="F456" i="4" s="1"/>
  <c r="F457" i="4" a="1"/>
  <c r="F457" i="4" s="1"/>
  <c r="F458" i="4" a="1"/>
  <c r="F458" i="4" s="1"/>
  <c r="F459" i="4" a="1"/>
  <c r="F459" i="4" s="1"/>
  <c r="F460" i="4" a="1"/>
  <c r="F460" i="4" s="1"/>
  <c r="F461" i="4" a="1"/>
  <c r="F461" i="4" s="1"/>
  <c r="F462" i="4" a="1"/>
  <c r="F462" i="4" s="1"/>
  <c r="F463" i="4" a="1"/>
  <c r="F463" i="4" s="1"/>
  <c r="F464" i="4" a="1"/>
  <c r="F464" i="4" s="1"/>
  <c r="F465" i="4" a="1"/>
  <c r="F465" i="4" s="1"/>
  <c r="F466" i="4" a="1"/>
  <c r="F466" i="4" s="1"/>
  <c r="F467" i="4" a="1"/>
  <c r="F467" i="4" s="1"/>
  <c r="F468" i="4" a="1"/>
  <c r="F468" i="4" s="1"/>
  <c r="F469" i="4" a="1"/>
  <c r="F469" i="4" s="1"/>
  <c r="F470" i="4" a="1"/>
  <c r="F470" i="4" s="1"/>
  <c r="F471" i="4" a="1"/>
  <c r="F471" i="4" s="1"/>
  <c r="F472" i="4" a="1"/>
  <c r="F472" i="4" s="1"/>
  <c r="F473" i="4" a="1"/>
  <c r="F473" i="4" s="1"/>
  <c r="F474" i="4" a="1"/>
  <c r="F474" i="4" s="1"/>
  <c r="F475" i="4" a="1"/>
  <c r="F475" i="4" s="1"/>
  <c r="F476" i="4" a="1"/>
  <c r="F476" i="4" s="1"/>
  <c r="F477" i="4" a="1"/>
  <c r="F477" i="4" s="1"/>
  <c r="F478" i="4" a="1"/>
  <c r="F478" i="4" s="1"/>
  <c r="F479" i="4" a="1"/>
  <c r="F479" i="4" s="1"/>
  <c r="F480" i="4" a="1"/>
  <c r="F480" i="4" s="1"/>
  <c r="F481" i="4" a="1"/>
  <c r="F481" i="4" s="1"/>
  <c r="F482" i="4" a="1"/>
  <c r="F482" i="4" s="1"/>
  <c r="F483" i="4" a="1"/>
  <c r="F483" i="4" s="1"/>
  <c r="F484" i="4" a="1"/>
  <c r="F484" i="4" s="1"/>
  <c r="F485" i="4" a="1"/>
  <c r="F485" i="4" s="1"/>
  <c r="F486" i="4" a="1"/>
  <c r="F486" i="4" s="1"/>
  <c r="F487" i="4" a="1"/>
  <c r="F487" i="4" s="1"/>
  <c r="F488" i="4" a="1"/>
  <c r="F488" i="4" s="1"/>
  <c r="F489" i="4" a="1"/>
  <c r="F489" i="4" s="1"/>
  <c r="F490" i="4" a="1"/>
  <c r="F490" i="4" s="1"/>
  <c r="F491" i="4" a="1"/>
  <c r="F491" i="4" s="1"/>
  <c r="F492" i="4" a="1"/>
  <c r="F492" i="4" s="1"/>
  <c r="F493" i="4" a="1"/>
  <c r="F493" i="4" s="1"/>
  <c r="F494" i="4" a="1"/>
  <c r="F494" i="4" s="1"/>
  <c r="F495" i="4" a="1"/>
  <c r="F495" i="4" s="1"/>
  <c r="F496" i="4" a="1"/>
  <c r="F496" i="4" s="1"/>
  <c r="F497" i="4" a="1"/>
  <c r="F497" i="4" s="1"/>
  <c r="F138" i="4" a="1"/>
  <c r="F138" i="4" s="1"/>
  <c r="F499" i="4" a="1"/>
  <c r="F499" i="4" s="1"/>
  <c r="F500" i="4" a="1"/>
  <c r="F500" i="4" s="1"/>
  <c r="F501" i="4" a="1"/>
  <c r="F501" i="4" s="1"/>
  <c r="F502" i="4" a="1"/>
  <c r="F502" i="4" s="1"/>
  <c r="F503" i="4" a="1"/>
  <c r="F503" i="4" s="1"/>
  <c r="F504" i="4" a="1"/>
  <c r="F504" i="4" s="1"/>
  <c r="F2" i="4" a="1"/>
  <c r="F2" i="4" s="1"/>
  <c r="E23" i="7"/>
  <c r="C23" i="7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<sst xmlns="http://schemas.openxmlformats.org/spreadsheetml/2006/main" count="4923" uniqueCount="471">
  <si>
    <t>Excel-Advanced + VBA  ·  Knoff-Hoff GmbH</t>
  </si>
  <si>
    <t>Arbeitsmappe Teilnehmende  ·  2-Tage-Schulung  ·  sobek innovations</t>
  </si>
  <si>
    <t>Ihre Arbeitsmappe fuer beide Tage. Jedes Set hat ein eigenes Blatt mit Anleitung und gelb markierten, leeren Antwortzellen. Die Datenblaetter (Artikel, Bestellungen, Umsatz, Tickets, Rohdaten) wachsen über die Sets mit – der rote Faden.</t>
  </si>
  <si>
    <t>Set</t>
  </si>
  <si>
    <t>Thema</t>
  </si>
  <si>
    <t>Zeitfenster</t>
  </si>
  <si>
    <t>Funktionen / Technik</t>
  </si>
  <si>
    <t>Datenblatt</t>
  </si>
  <si>
    <t>Verweisfunktionen</t>
  </si>
  <si>
    <t>Tag 1 - Vormittag</t>
  </si>
  <si>
    <t>SVERWEIS -&gt; XVERWEIS -&gt; INDEX/VERGLEICH</t>
  </si>
  <si>
    <t>Bestellungen, Artikel</t>
  </si>
  <si>
    <t>Verschachtelte &amp; bedingte Funktionen</t>
  </si>
  <si>
    <t>WENNS, SUMMEWENNS, ZAEHLENWENNS</t>
  </si>
  <si>
    <t>Umsatz</t>
  </si>
  <si>
    <t>Benannte Bereiche &amp; intelligente Tabellen</t>
  </si>
  <si>
    <t>Namen, Strg+T</t>
  </si>
  <si>
    <t>Artikel, Bestellungen</t>
  </si>
  <si>
    <t>Pivot-Tabellen</t>
  </si>
  <si>
    <t>Tag 1 - Nachmittag</t>
  </si>
  <si>
    <t>Aufbau, Gruppieren, Kennzahlen</t>
  </si>
  <si>
    <t>Bedingte Formatierung &amp; Datenvalidierung</t>
  </si>
  <si>
    <t>Sichtbar machen, absichern</t>
  </si>
  <si>
    <t>Tickets</t>
  </si>
  <si>
    <t>Mini-Dashboard (Puffer)</t>
  </si>
  <si>
    <t>Pivot + Diagramm + Slicer</t>
  </si>
  <si>
    <t>Umsatz, Bestellungen</t>
  </si>
  <si>
    <t>Makro-Recorder &amp; Objektmodell</t>
  </si>
  <si>
    <t>Tag 2 - Vormittag</t>
  </si>
  <si>
    <t>Aufzeichnen, Lesen, Aufraeumen</t>
  </si>
  <si>
    <t>Rohdaten</t>
  </si>
  <si>
    <t>Variablen &amp; Datentypen</t>
  </si>
  <si>
    <t>Dim, Typen, Option Explicit</t>
  </si>
  <si>
    <t>Bestellungen</t>
  </si>
  <si>
    <t>Kontrollstrukturen</t>
  </si>
  <si>
    <t>Tag 2 - Nachmittag</t>
  </si>
  <si>
    <t>If/ElseIf, For, Do While</t>
  </si>
  <si>
    <t>Prozeduren &amp; Funktionen</t>
  </si>
  <si>
    <t>Function, Sub mit Parameter, UDF</t>
  </si>
  <si>
    <t>Fehlerbehandlung &amp; Debugging</t>
  </si>
  <si>
    <t>F8, Debug.Print, On Error</t>
  </si>
  <si>
    <t>Abschlussprojekt: Report-Generator</t>
  </si>
  <si>
    <t>Alle Bausteine zusammen</t>
  </si>
  <si>
    <t>Legende: gelbe Zellen = hier tragen Sie ein. Gruene Zellen (Loesung) = fertige Antwort. Formelnamen erscheinen je nach Excel-Sprache deutsch (SVERWEIS) oder englisch (VLOOKUP) – das ist dieselbe Funktion.</t>
  </si>
  <si>
    <t>Nr</t>
  </si>
  <si>
    <t>Bezeichnung</t>
  </si>
  <si>
    <t>Kategorie</t>
  </si>
  <si>
    <t>Einzelpreis</t>
  </si>
  <si>
    <t>Kopierpapier A4</t>
  </si>
  <si>
    <t>Büromaterial</t>
  </si>
  <si>
    <t>Notizblock A5</t>
  </si>
  <si>
    <t>Kugelschreiber blau</t>
  </si>
  <si>
    <t>Textmarker-Set</t>
  </si>
  <si>
    <t>Aktenordner breit</t>
  </si>
  <si>
    <t>Locher Metall</t>
  </si>
  <si>
    <t>Tacker mittel</t>
  </si>
  <si>
    <t>Heftklammern 24/6</t>
  </si>
  <si>
    <t>Haftnotizen gelb</t>
  </si>
  <si>
    <t>Briefumschläge C5</t>
  </si>
  <si>
    <t>Ordnerregister A-Z</t>
  </si>
  <si>
    <t>Radiergummi</t>
  </si>
  <si>
    <t>Bleistift HB</t>
  </si>
  <si>
    <t>Korrekturroller</t>
  </si>
  <si>
    <t>Schere 21cm</t>
  </si>
  <si>
    <t>USB-Stick 64GB</t>
  </si>
  <si>
    <t>Technik</t>
  </si>
  <si>
    <t>Funkmaus</t>
  </si>
  <si>
    <t>Tastatur USB</t>
  </si>
  <si>
    <t>Webcam HD</t>
  </si>
  <si>
    <t>Headset Büro</t>
  </si>
  <si>
    <t>HDMI-Kabel 2m</t>
  </si>
  <si>
    <t>Netzwerkkabel 5m</t>
  </si>
  <si>
    <t>Mehrfachsteckdose</t>
  </si>
  <si>
    <t>Monitor 24 Zoll</t>
  </si>
  <si>
    <t>Dockingstation</t>
  </si>
  <si>
    <t>Powerbank 10000</t>
  </si>
  <si>
    <t>Festplatte 1TB</t>
  </si>
  <si>
    <t>USB-Hub 4-Port</t>
  </si>
  <si>
    <t>Laptop-Tasche 15 Zoll</t>
  </si>
  <si>
    <t>Versandkarton M</t>
  </si>
  <si>
    <t>Lager &amp; Logistik</t>
  </si>
  <si>
    <t>Versandkarton L</t>
  </si>
  <si>
    <t>Palettenfolie</t>
  </si>
  <si>
    <t>Packband transparent</t>
  </si>
  <si>
    <t>Luftpolsterfolie</t>
  </si>
  <si>
    <t>Etiketten 70x37</t>
  </si>
  <si>
    <t>Stretchfolie</t>
  </si>
  <si>
    <t>Klebeband-Abroller</t>
  </si>
  <si>
    <t>Cutter-Messer</t>
  </si>
  <si>
    <t>Werkzeug</t>
  </si>
  <si>
    <t>Schraubendreher-Set</t>
  </si>
  <si>
    <t>Maßband 5m</t>
  </si>
  <si>
    <t>Multifunktionszange</t>
  </si>
  <si>
    <t>Akkuschrauber</t>
  </si>
  <si>
    <t>Bildschirmreiniger</t>
  </si>
  <si>
    <t>Reinigung</t>
  </si>
  <si>
    <t>Reinigungstücher</t>
  </si>
  <si>
    <t>Druckluftspray</t>
  </si>
  <si>
    <t>Desinfektionsgel</t>
  </si>
  <si>
    <t>Müllbeutel 60L</t>
  </si>
  <si>
    <t>Glasreiniger</t>
  </si>
  <si>
    <t>Handseife 500ml</t>
  </si>
  <si>
    <t>Papiertücher</t>
  </si>
  <si>
    <t>Artikelnummer</t>
  </si>
  <si>
    <t>Menge</t>
  </si>
  <si>
    <t>Bezeichnung (SVERWEIS)</t>
  </si>
  <si>
    <t>Bezeichnung (XVERWEIS)</t>
  </si>
  <si>
    <t>Einzelpreis (XVERWEIS)</t>
  </si>
  <si>
    <t>Gesamt (Menge x Preis)</t>
  </si>
  <si>
    <t>Kunde</t>
  </si>
  <si>
    <t>Region</t>
  </si>
  <si>
    <t>Jahr</t>
  </si>
  <si>
    <t>Betrag</t>
  </si>
  <si>
    <t>Datum</t>
  </si>
  <si>
    <t>Klasse (WENNS)</t>
  </si>
  <si>
    <t>Becker Logistik</t>
  </si>
  <si>
    <t>Ost</t>
  </si>
  <si>
    <t>Huber GmbH</t>
  </si>
  <si>
    <t>Braun Handel</t>
  </si>
  <si>
    <t>Neumann KG</t>
  </si>
  <si>
    <t>Süd</t>
  </si>
  <si>
    <t>Hoffmann GmbH</t>
  </si>
  <si>
    <t>Nord</t>
  </si>
  <si>
    <t>Engel GmbH</t>
  </si>
  <si>
    <t>Haas &amp; Partner</t>
  </si>
  <si>
    <t>Lange &amp; Söhne</t>
  </si>
  <si>
    <t>Franke KG</t>
  </si>
  <si>
    <t>Frank Industrie</t>
  </si>
  <si>
    <t>West</t>
  </si>
  <si>
    <t>Baumann Vertrieb</t>
  </si>
  <si>
    <t>Lehmann KG</t>
  </si>
  <si>
    <t>Otto Bürobedarf</t>
  </si>
  <si>
    <t>Winkler Technik</t>
  </si>
  <si>
    <t>Thomas KG</t>
  </si>
  <si>
    <t>Weber Handels AG</t>
  </si>
  <si>
    <t>Werner Solutions</t>
  </si>
  <si>
    <t>Maier Elektro</t>
  </si>
  <si>
    <t>Richter GmbH</t>
  </si>
  <si>
    <t>Krüger GmbH</t>
  </si>
  <si>
    <t>Fischer &amp; Co.</t>
  </si>
  <si>
    <t>Vogel Logistik</t>
  </si>
  <si>
    <t>Sommer Handel</t>
  </si>
  <si>
    <t>Schulz &amp; Partner</t>
  </si>
  <si>
    <t>Voigt AG</t>
  </si>
  <si>
    <t>Beck AG</t>
  </si>
  <si>
    <t>Koch Industrie</t>
  </si>
  <si>
    <t>Klein Vertrieb</t>
  </si>
  <si>
    <t>Hartmann AG</t>
  </si>
  <si>
    <t>Roth Handels KG</t>
  </si>
  <si>
    <t>Schäfer Handel</t>
  </si>
  <si>
    <t>Müller GmbH</t>
  </si>
  <si>
    <t>Lorenz GmbH</t>
  </si>
  <si>
    <t>Wolf Technik</t>
  </si>
  <si>
    <t>Kraft Logistik</t>
  </si>
  <si>
    <t>Krause GmbH</t>
  </si>
  <si>
    <t>Berger GmbH</t>
  </si>
  <si>
    <t>Albrecht GmbH</t>
  </si>
  <si>
    <t>07.08.2024</t>
  </si>
  <si>
    <t>Wagner Bürobedarf</t>
  </si>
  <si>
    <t>Schmidt &amp; Co. KG</t>
  </si>
  <si>
    <t>Titel</t>
  </si>
  <si>
    <t>Bearbeiter</t>
  </si>
  <si>
    <t>Status</t>
  </si>
  <si>
    <t>Angebot anfordern</t>
  </si>
  <si>
    <t>B. Koch</t>
  </si>
  <si>
    <t>in Arbeit</t>
  </si>
  <si>
    <t>Mausklick reagiert nicht</t>
  </si>
  <si>
    <t>E. Sommer</t>
  </si>
  <si>
    <t>Passwort zurücksetzen</t>
  </si>
  <si>
    <t>A. Weber</t>
  </si>
  <si>
    <t>erledigt</t>
  </si>
  <si>
    <t>Software-Update</t>
  </si>
  <si>
    <t>offfen</t>
  </si>
  <si>
    <t>Lizenz verlängern</t>
  </si>
  <si>
    <t>Backup wiederherstellen</t>
  </si>
  <si>
    <t>offen</t>
  </si>
  <si>
    <t>Zugriff beantragen</t>
  </si>
  <si>
    <t>Telefon stumm</t>
  </si>
  <si>
    <t/>
  </si>
  <si>
    <t>Monitor defekt</t>
  </si>
  <si>
    <t>E-Mail kommt nicht an</t>
  </si>
  <si>
    <t>C. Lange</t>
  </si>
  <si>
    <t>Bestellung stornieren</t>
  </si>
  <si>
    <t>D. Roth</t>
  </si>
  <si>
    <t>Schulung buchen</t>
  </si>
  <si>
    <t>Konto gesperrt</t>
  </si>
  <si>
    <t>Datei beschädigt</t>
  </si>
  <si>
    <t>Login funktioniert nicht</t>
  </si>
  <si>
    <t>fehlt</t>
  </si>
  <si>
    <t>Set 1  ·  Verweisfunktionen</t>
  </si>
  <si>
    <t>Tag 1 - Vormittag  ·  SVERWEIS -&gt; XVERWEIS -&gt; INDEX/VERGLEICH  ·  Datenblatt: Bestellungen, Artikel</t>
  </si>
  <si>
    <t>Anleitung</t>
  </si>
  <si>
    <t>1A  Preis zur Artikelnummer (gemeinsam)</t>
  </si>
  <si>
    <t>Ziel: Einen kompletten SVERWEIS Argument fuer Argument aufbauen.</t>
  </si>
  <si>
    <t xml:space="preserve">  •  Blatt Bestellungen, Spalte D: Bezeichnung zur Artikelnummer per SVERWEIS holen.</t>
  </si>
  <si>
    <t xml:space="preserve">  •  Matrix mit F4 absolut fixieren ($) - sonst ab Zeile ~20 #NV.</t>
  </si>
  <si>
    <t xml:space="preserve">  •  Letztes Argument FALSCH erzwingt die exakte Suche.</t>
  </si>
  <si>
    <t>1B  Bestellliste anreichern (solo/paar)</t>
  </si>
  <si>
    <t>Ziel: Den Weg eigenstaendig wiederholen und auf XVERWEIS uebertragen.</t>
  </si>
  <si>
    <t xml:space="preserve">  •  Spalten E/F im Blatt Bestellungen: Bezeichnung und Preis per XVERWEIS, mit Auffangwert 'nicht gefunden'.</t>
  </si>
  <si>
    <t xml:space="preserve">  •  Erfundene Artikelnummer eintippen: Wie reagiert SVERWEIS, wie XVERWEIS?</t>
  </si>
  <si>
    <t>1C  Linksverweis - die SVERWEIS-Grenze (bonus)</t>
  </si>
  <si>
    <t>Ziel: Zu einer Bezeichnung die links stehende Artikelnummer finden.</t>
  </si>
  <si>
    <t xml:space="preserve">  •  Mit INDEX/VERGLEICH und mit XVERWEIS loesen (siehe Antwortbereich unten).</t>
  </si>
  <si>
    <t xml:space="preserve">  •  Warum scheitert SVERWEIS hier grundsaetzlich?</t>
  </si>
  <si>
    <t>➤  Zeilen-Arbeit (1A/1B) erfolgt im Blatt 'Bestellungen', Spalten D-F.</t>
  </si>
  <si>
    <t>Antwortbereich 1C – Linksverweis</t>
  </si>
  <si>
    <t>Bezeichnung (Suchwert)</t>
  </si>
  <si>
    <t>Artikelnr (INDEX/VERGLEICH)</t>
  </si>
  <si>
    <t>Artikelnr (XVERWEIS)</t>
  </si>
  <si>
    <t>Fertig, wenn: jede Bestellzeile zeigt Bezeichnung und Preis ohne #NV; SVERWEIS und XVERWEIS stehen nebeneinander.</t>
  </si>
  <si>
    <t>Set 2  ·  Verschachtelte &amp; bedingte Funktionen</t>
  </si>
  <si>
    <t>Tag 1 - Vormittag  ·  WENNS, SUMMEWENNS, ZAEHLENWENNS  ·  Datenblatt: Umsatz</t>
  </si>
  <si>
    <t>2A  A-, B- oder C-Kunde? (gemeinsam)</t>
  </si>
  <si>
    <t>Ziel: WENNS-Klassifizierung - Bedingungen von gross nach klein.</t>
  </si>
  <si>
    <t xml:space="preserve">  •  Blatt Umsatz, Spalte F (Klasse): ab 10.000 A, ab 5.000 B, sonst C.</t>
  </si>
  <si>
    <t xml:space="preserve">  •  WENNS nimmt den ersten Treffer - darum zuerst die groesste Schwelle, WAHR als Auffangnetz.</t>
  </si>
  <si>
    <t>2B  Umsaetze verdichten (solo/paar)</t>
  </si>
  <si>
    <t>Ziel: Auswertungsecke mit Mehrfachkriterien, ueber eine Eingabezelle gesteuert.</t>
  </si>
  <si>
    <t xml:space="preserve">  •  Region in die Eingabezelle unten - SUMMEWENNS Umsatz 2025 und ZAEHLENWENNS A-Kunden rechnen neu.</t>
  </si>
  <si>
    <t xml:space="preserve">  •  Bei SUMMEWENNS kommt der Summenbereich zuerst.</t>
  </si>
  <si>
    <t>2C  Joker &amp; Mittelwerte (bonus)</t>
  </si>
  <si>
    <t>Ziel: Kriterien flexibler machen: Platzhalter und Ungleich-Operator.</t>
  </si>
  <si>
    <t xml:space="preserve">  •  MITTELWERTWENNS der A-Kunden, Anzahl Kunden mit 'M*', Umsatz ausserhalb Süd ('&lt;&gt;Süd').</t>
  </si>
  <si>
    <t>➤  Klassifizierung (2A) erfolgt im Blatt 'Umsatz', Spalte F.</t>
  </si>
  <si>
    <t>Antwortbereich 2B / 2C – interaktive Auswertung</t>
  </si>
  <si>
    <t>Eingabe Region:</t>
  </si>
  <si>
    <t>Umsatz Region 2025 (SUMMEWENNS)</t>
  </si>
  <si>
    <t>Anzahl A-Kunden in Region (ZAEHLENWENNS)</t>
  </si>
  <si>
    <t>Mittelwert A-Kunden gesamt (MITTELWERTWENNS)</t>
  </si>
  <si>
    <t>Anzahl Kunden mit "M*" (ZAEHLENWENN)</t>
  </si>
  <si>
    <t>Umsatz ausserhalb Süd (SUMMEWENNS)</t>
  </si>
  <si>
    <t>Fertig, wenn: ein Wechsel der Region in B aktualisiert alle Ergebnisse.</t>
  </si>
  <si>
    <t>Set 3  ·  Benannte Bereiche &amp; intelligente Tabellen</t>
  </si>
  <si>
    <t>Tag 1 - Vormittag  ·  Namen, Strg+T  ·  Datenblatt: Artikel, Bestellungen</t>
  </si>
  <si>
    <t>3A  Formeln, die man lesen kann (gemeinsam)</t>
  </si>
  <si>
    <t>Ziel: Einen Bereich benennen und eine Formel damit lesbar machen.</t>
  </si>
  <si>
    <t xml:space="preserve">  •  Preisspalte (Artikel, Spalte D) markieren -&gt; Namensfeld -&gt; Name 'Preis'.</t>
  </si>
  <si>
    <t xml:space="preserve">  •  Namensmanager mit Strg+F3 oeffnen. Regel: keine Leerzeichen, nicht mit Zahl beginnen.</t>
  </si>
  <si>
    <t xml:space="preserve">  •  =SUMME(Preis) schreiben (siehe Antwortbereich).</t>
  </si>
  <si>
    <t>3B  Aufraeumen &amp; mitwachsen (solo/paar)</t>
  </si>
  <si>
    <t>Ziel: Verweise mit Namen schreiben und die Bestellliste in eine Tabelle wandeln.</t>
  </si>
  <si>
    <t xml:space="preserve">  •  Im Blatt Artikel 'ArtNr' und 'Bezeichnung' benennen.</t>
  </si>
  <si>
    <t xml:space="preserve">  •  XVERWEIS aus 1B mit Namen neu schreiben: =XVERWEIS(A2;ArtNr;Bezeichnung;"nicht gefunden").</t>
  </si>
  <si>
    <t xml:space="preserve">  •  Bestellliste -&gt; Strg+T (Ueberschriften anhaken) -&gt; Tabellenname tblBestellungen.</t>
  </si>
  <si>
    <t xml:space="preserve">  •  Neue Zeile unten anfuegen: Format und Formeln werden automatisch geerbt.</t>
  </si>
  <si>
    <t>3C  Dropdown aus Tabelle (bonus)</t>
  </si>
  <si>
    <t>Ziel: Eine Auswahlliste, die mitwaechst.</t>
  </si>
  <si>
    <t xml:space="preserve">  •  Datenpruefung -&gt; Liste, Quelle =Bezeichnung. Neuen Artikel anfuegen -&gt; taucht er im Dropdown auf?</t>
  </si>
  <si>
    <t>Antwortbereich – Namen in Aktion</t>
  </si>
  <si>
    <t>Summe aller Preise =SUMME(Preis)</t>
  </si>
  <si>
    <t>XVERWEIS mit Namen (Bez. zu 1001)</t>
  </si>
  <si>
    <t>Dropdown (Quelle =Bezeichnung)</t>
  </si>
  <si>
    <t>Fertig, wenn: =SUMME(Preis) rechnet, der XVERWEIS nutzt Namen, das Dropdown waechst mit (Loesung: tblBestellungen + Namen sind gesetzt).</t>
  </si>
  <si>
    <t>Set 4  ·  Pivot-Tabellen</t>
  </si>
  <si>
    <t>Tag 1 - Nachmittag  ·  Aufbau, Gruppieren, Kennzahlen  ·  Datenblatt: Umsatz</t>
  </si>
  <si>
    <t>4A  Erste Pivot - Umsatz je Region (gemeinsam)</t>
  </si>
  <si>
    <t>Ziel: Von 2000 Rohzeilen zu einer Vier-Zeilen-Auswertung.</t>
  </si>
  <si>
    <t xml:space="preserve">  •  Cursor in die Umsatz-Daten -&gt; Einfuegen -&gt; PivotTable.</t>
  </si>
  <si>
    <t xml:space="preserve">  •  Region in Zeilen, Betrag in Werte (steht auto auf Summe). Doppelklick = Drilldown.</t>
  </si>
  <si>
    <t xml:space="preserve">  •  Vier Zonen merken: Filter, Spalten, Zeilen, Werte.</t>
  </si>
  <si>
    <t>4B  Quartale, Mittelwerte, zweite Ebene (solo/paar)</t>
  </si>
  <si>
    <t>Ziel: Eigene Pivot mit Gruppierung und zweiter Zeilenebene.</t>
  </si>
  <si>
    <t xml:space="preserve">  •  Datum in Spalten -&gt; Rechtsklick -&gt; Gruppieren -&gt; Quartale. Kunde als 2. Ebene unter Region.</t>
  </si>
  <si>
    <t xml:space="preserve">  •  Wertfeldeinstellungen -&gt; Mittelwert, Zahlenformat dort (nicht die Zellen direkt).</t>
  </si>
  <si>
    <t xml:space="preserve">  •  Pivot = Schnappschuss: nach Datenaenderung mit Alt+F5 aktualisieren.</t>
  </si>
  <si>
    <t xml:space="preserve">  •  Achtung: Gruppieren scheitert, wenn eine Datumszelle Text ist - diese zuerst saeubern.</t>
  </si>
  <si>
    <t>4C  Provision &amp; klickbare Filter (bonus)</t>
  </si>
  <si>
    <t>Ziel: Berechnetes Feld plus interaktive Filter.</t>
  </si>
  <si>
    <t xml:space="preserve">  •  PivotTable-Analyse -&gt; Felder/Elemente -&gt; Berechnetes Feld 'Provision' = Betrag * 0,03.</t>
  </si>
  <si>
    <t xml:space="preserve">  •  Datenschnitt (Slicer) fuer Region und Zeitachse fuer Datum einfuegen.</t>
  </si>
  <si>
    <t>➤  Quelldaten: Blatt 'Umsatz' (~2000 Zeilen). Pivot/Slicer baut Excel - openpyxl kann das nicht vorab.</t>
  </si>
  <si>
    <t>Erwartetes Ergebnis 4A (Kontrolle) – Umsatz je Region, alle Jahre</t>
  </si>
  <si>
    <t>Summe Betrag</t>
  </si>
  <si>
    <t>Fertig, wenn: die Pivot zeigt vier Regionen, Quartale stehen in den Spalten, der Drilldown wurde gezeigt.</t>
  </si>
  <si>
    <t>Set 5  ·  Bedingte Formatierung &amp; Datenvalidierung</t>
  </si>
  <si>
    <t>Tag 1 - Nachmittag  ·  Sichtbar machen, absichern  ·  Datenblatt: Tickets</t>
  </si>
  <si>
    <t>5A  Rot, wenn offen (gemeinsam)</t>
  </si>
  <si>
    <t>Ziel: Von der einzelnen Zelle zur ganzen Zeile per Formelregel.</t>
  </si>
  <si>
    <t xml:space="preserve">  •  Blatt Tickets, Bereich ab Zeile 2 markieren -&gt; Bedingte Formatierung -&gt; Neue Regel -&gt; Formel.</t>
  </si>
  <si>
    <t xml:space="preserve">  •  Formel =$D2="offen", Format rot. Gemischter Bezug: $D2 fixiert die Spalte, nicht die Zeile.</t>
  </si>
  <si>
    <t xml:space="preserve">  •  Geplanter Fehler: $D$2 statt $D2 -&gt; alle Zeilen reagieren auf Zeile 2.</t>
  </si>
  <si>
    <t>5B  Eingaben absichern (solo/paar)</t>
  </si>
  <si>
    <t>Ziel: Dropdown, Mengen-Grenze und eigene Fehlermeldung.</t>
  </si>
  <si>
    <t xml:space="preserve">  •  Statusspalte -&gt; Datenpruefung -&gt; Liste: offen;in Arbeit;erledigt.</t>
  </si>
  <si>
    <t xml:space="preserve">  •  Mengenspalte -&gt; Ganze Zahl zwischen 1 und 999 + eigene Fehlermeldung.</t>
  </si>
  <si>
    <t xml:space="preserve">  •  Zeilen ohne Bearbeiter gelb: Formelregel =$C2="".</t>
  </si>
  <si>
    <t xml:space="preserve">  •  Bestehende Falschwerte (z. B. 'offfen'): Datenpruefung -&gt; Ungueltige Daten einkreisen.</t>
  </si>
  <si>
    <t>5C  Top 3 sichtbar machen (bonus)</t>
  </si>
  <si>
    <t>Ziel: Visuelle Regeln jenseits von rot/gruen.</t>
  </si>
  <si>
    <t xml:space="preserve">  •  Obere/Untere Regeln -&gt; Obere 10 Elemente -&gt; auf 3 stellen. Optional Datenbalken. Regeln verwalten.</t>
  </si>
  <si>
    <t>➤  Gesamte Uebung erfolgt im Blatt 'Tickets'.</t>
  </si>
  <si>
    <t>Fertig, wenn: offene Tickets sind als ganze Zeile rot, der Status ist ein Dropdown, die Menge ist 1-999 begrenzt, Top-3-Mengen sind hervorgehoben.</t>
  </si>
  <si>
    <t>Set 6  ·  Mini-Dashboard (Puffer)</t>
  </si>
  <si>
    <t>Tag 1 - Nachmittag  ·  Pivot + Diagramm + Slicer  ·  Datenblatt: Umsatz, Bestellungen</t>
  </si>
  <si>
    <t>6A  Pivot-Diagramm in 5 Minuten (gemeinsam)</t>
  </si>
  <si>
    <t>Ziel: Aus der Pivot von Set 4 ein mitfilterndes Diagramm machen.</t>
  </si>
  <si>
    <t xml:space="preserve">  •  Pivot anklicken -&gt; PivotTable-Analyse -&gt; PivotChart -&gt; Saeulen.</t>
  </si>
  <si>
    <t xml:space="preserve">  •  Ueber den Slicer aus 4C filtern - das Diagramm folgt automatisch. Gitternetz aus, klarer Titel.</t>
  </si>
  <si>
    <t>6B  Ein Klick steuert alles (solo/paar)</t>
  </si>
  <si>
    <t>Ziel: Zwei Pivots, ein Slicer - die Grundmechanik jedes Dashboards.</t>
  </si>
  <si>
    <t xml:space="preserve">  •  Auf neuem Blatt 'Dashboard' eine zweite Pivot (z. B. Anzahl Bestellungen je Kunde).</t>
  </si>
  <si>
    <t xml:space="preserve">  •  Rechtsklick auf den Region-Slicer -&gt; Berichtsverbindungen -&gt; beide Pivots anhaken.</t>
  </si>
  <si>
    <t xml:space="preserve">  •  Diagramm, Pivots und Slicer anordnen, Gitternetzlinien ausblenden.</t>
  </si>
  <si>
    <t>Puffer-Set: Pivot, PivotChart und Slicer sind interaktive Excel-Objekte und werden live gebaut (nicht vorab generierbar). Grundlage ist die Pivot aus Set 4 auf dem Blatt 'Umsatz'. Berichtsverbindungen funktionieren nur, wenn beide Pivots aus demselben Cache stammen.</t>
  </si>
  <si>
    <t>Fertig, wenn: ein Slicer-Klick steuert Diagramm und beide Pivots gemeinsam auf einem Dashboard-Blatt.</t>
  </si>
  <si>
    <t>Set 7  ·  Makro-Recorder &amp; Objektmodell</t>
  </si>
  <si>
    <t>Tag 2 - Vormittag  ·  Aufzeichnen, Lesen, Aufraeumen  ·  Datenblatt: Rohdaten</t>
  </si>
  <si>
    <t>7A  Excel schreibt den Code (gemeinsam)</t>
  </si>
  <si>
    <t>Ziel: Makro aufzeichnen, Code lesen, eine Zeile aendern.</t>
  </si>
  <si>
    <t xml:space="preserve">  •  Entwicklertools -&gt; Makro aufzeichnen ('KopfFormatieren'): Kopfzeile markieren, fett, blau, weiss. Stoppen.</t>
  </si>
  <si>
    <t xml:space="preserve">  •  Alt+F11: jede Zeile dem Objektmodell zuordnen - Range (Objekt), .Font.Bold (Eigenschaft), .Select (Methode).</t>
  </si>
  <si>
    <t xml:space="preserve">  •  Eine Farbe auf vbYellow aendern, mit F5 pruefen.</t>
  </si>
  <si>
    <t>7B  Recorder-Code aufraeumen (solo/paar)</t>
  </si>
  <si>
    <t>Ziel: Geschwaetzigen Code zu einem kurzen Makro ohne Select machen.</t>
  </si>
  <si>
    <t xml:space="preserve">  •  Range(...).Select + Selection.X wird je eine Zeile. With buendelt Eigenschaften desselben Bereichs.</t>
  </si>
  <si>
    <t xml:space="preserve">  •  Zielcode siehe unten - vollstaendig in vba/Modul07_Recorder.bas.</t>
  </si>
  <si>
    <t>7C  Relativ oder absolut aufzeichnen? (bonus)</t>
  </si>
  <si>
    <t>Ziel: Den Schalter 'Relative Verweise verwenden' verstehen.</t>
  </si>
  <si>
    <t xml:space="preserve">  •  relativ: ActiveCell.Offset(0,1).Value="X" wirkt, wo der Cursor steht.</t>
  </si>
  <si>
    <t xml:space="preserve">  •  absolut: Range("B1").Value="X" trifft immer dieselbe Zelle.</t>
  </si>
  <si>
    <t>➤  Vollstaendiges, importierbares Modul: vba/Modul07_Recorder.bas (im VBA-Editor: Datei -&gt; Datei importieren).</t>
  </si>
  <si>
    <t xml:space="preserve">  VBA</t>
  </si>
  <si>
    <t xml:space="preserve">  Sub KopfFormatiereSauber()</t>
  </si>
  <si>
    <t xml:space="preserve">      With Range("A1:D1")</t>
  </si>
  <si>
    <t xml:space="preserve">          .Font.Bold = True</t>
  </si>
  <si>
    <t xml:space="preserve">          .Interior.Color = RGB(22, 65, 148)</t>
  </si>
  <si>
    <t xml:space="preserve">          .Font.Color = vbWhite</t>
  </si>
  <si>
    <t xml:space="preserve">      End With</t>
  </si>
  <si>
    <t xml:space="preserve">      Columns("A:D").AutoFit</t>
  </si>
  <si>
    <t xml:space="preserve">  End Sub</t>
  </si>
  <si>
    <t>Fertig, wenn: das Modul ist importiert, das Makro laeuft per F5 und liefert das erwartete Ergebnis.</t>
  </si>
  <si>
    <t>Set 8  ·  Variablen &amp; Datentypen</t>
  </si>
  <si>
    <t>Tag 2 - Vormittag  ·  Dim, Typen, Option Explicit  ·  Datenblatt: Bestellungen</t>
  </si>
  <si>
    <t>8A  Die erste Variable (gemeinsam)</t>
  </si>
  <si>
    <t>Ziel: Mini-Makro mit Variable, Zuweisung und MsgBox - von Hand.</t>
  </si>
  <si>
    <t xml:space="preserve">  •  Neues Modul, oben Option Explicit. Dim name As String, aus A1 lesen, MsgBox "Hallo " &amp; name.</t>
  </si>
  <si>
    <t xml:space="preserve">  •  Geplanter Tippfehler 'nmae' -&gt; Compilerfehler. Option Explicit dauerhaft aktivieren.</t>
  </si>
  <si>
    <t>8B  Typisiert rechnen (solo/paar)</t>
  </si>
  <si>
    <t>Ziel: Korrekt typisierte Variablen: Menge=Long, Preise=Double.</t>
  </si>
  <si>
    <t xml:space="preserve">  •  Menge*Einzelpreis berechnen und nach D2 schreiben. Code siehe unten / vba/Modul08_Variablen.bas.</t>
  </si>
  <si>
    <t xml:space="preserve">  •  Achtung: Dim a, b As Double macht a zum Variant - jede Variable einzeln deklarieren.</t>
  </si>
  <si>
    <t>8C  Eingabe vom Nutzer (bonus)</t>
  </si>
  <si>
    <t>Ziel: Menge zur Laufzeit erfragen statt aus der Zelle lesen.</t>
  </si>
  <si>
    <t xml:space="preserve">  •  eingabe = Application.InputBox("Menge:", Type:=1). Abbrechen liefert False -&gt; Exit Sub.</t>
  </si>
  <si>
    <t>➤  Vollstaendiges, importierbares Modul: vba/Modul08_Variablen.bas (im VBA-Editor: Datei -&gt; Datei importieren).</t>
  </si>
  <si>
    <t>Arbeitsdaten (Menge / Einzelpreis ab Zeile 2)</t>
  </si>
  <si>
    <t>Gesamt</t>
  </si>
  <si>
    <t>Klasse</t>
  </si>
  <si>
    <t xml:space="preserve">  Option Explicit</t>
  </si>
  <si>
    <t xml:space="preserve">  Sub GesamtpreisBerechnen()</t>
  </si>
  <si>
    <t xml:space="preserve">      Dim menge As Long</t>
  </si>
  <si>
    <t xml:space="preserve">      Dim einzelpreis As Double</t>
  </si>
  <si>
    <t xml:space="preserve">      Dim gesamt As Double</t>
  </si>
  <si>
    <t xml:space="preserve">      menge = Range("B2").Value</t>
  </si>
  <si>
    <t xml:space="preserve">      einzelpreis = Range("C2").Value</t>
  </si>
  <si>
    <t xml:space="preserve">      gesamt = menge * einzelpreis</t>
  </si>
  <si>
    <t xml:space="preserve">      Range("D2").Value = gesamt</t>
  </si>
  <si>
    <t xml:space="preserve">      MsgBox menge &amp; " Stueck a " &amp; Format(einzelpreis, "0.00") &amp; _</t>
  </si>
  <si>
    <t xml:space="preserve">          " = " &amp; Format(gesamt, "0.00 EUR")</t>
  </si>
  <si>
    <t>Set 9  ·  Kontrollstrukturen</t>
  </si>
  <si>
    <t>Tag 2 - Nachmittag  ·  If/ElseIf, For, Do While  ·  Datenblatt: Bestellungen</t>
  </si>
  <si>
    <t>9A  Wenn-dann in Code (gemeinsam)</t>
  </si>
  <si>
    <t>Ziel: Die WENNS-Logik aus Set 2 in If/ElseIf uebersetzen, dann in eine Schleife.</t>
  </si>
  <si>
    <t xml:space="preserve">  •  Betrag/Gesamt lesen, per If/ElseIf/Else Klasse A/B/C schreiben.</t>
  </si>
  <si>
    <t xml:space="preserve">  •  Umbau Range("D2") -&gt; Cells(i, 4): i ist die Zeile, 4 die Spalte. For i = 2 To 10 drumherum.</t>
  </si>
  <si>
    <t xml:space="preserve">  •  Mit F8 die Schleife im Einzelschritt beobachten.</t>
  </si>
  <si>
    <t>9B  Spalte automatisch fuellen (solo/paar)</t>
  </si>
  <si>
    <t>Ziel: Ganze Spalte berechnen und klassifizieren - mit dynamischem Datenende.</t>
  </si>
  <si>
    <t xml:space="preserve">  •  Do While Cells(r,1).Value &lt;&gt; "" laeuft, bis Spalte A leer ist. Code unten / vba/Modul09_Schleifen.bas.</t>
  </si>
  <si>
    <t xml:space="preserve">  •  Klassiker: r = r + 1 vergessen -&gt; Endlosschleife (Esc). Start bei Zeile 1 -&gt; Kopfzeile verrechnet.</t>
  </si>
  <si>
    <t>9C  Zaehler &amp; Zusammenfassung (bonus)</t>
  </si>
  <si>
    <t>Ziel: Zustand mitfuehren: drei Zaehler plus Summe.</t>
  </si>
  <si>
    <t xml:space="preserve">  •  Vor der Schleife 0, drin hochzaehlen, danach MsgBox mit vbNewLine. Kehrt in Set 12 wieder.</t>
  </si>
  <si>
    <t>➤  Vollstaendiges, importierbares Modul: vba/Modul09_Schleifen.bas (im VBA-Editor: Datei -&gt; Datei importieren).</t>
  </si>
  <si>
    <t xml:space="preserve">  Sub SpalteFuellen()</t>
  </si>
  <si>
    <t xml:space="preserve">      Dim r As Long: r = 2</t>
  </si>
  <si>
    <t xml:space="preserve">      Do While Cells(r, 1).Value &lt;&gt; ""</t>
  </si>
  <si>
    <t xml:space="preserve">          gesamt = Cells(r, 2).Value * Cells(r, 3).Value</t>
  </si>
  <si>
    <t xml:space="preserve">          Cells(r, 4).Value = gesamt</t>
  </si>
  <si>
    <t xml:space="preserve">          If gesamt &gt;= 10000 Then</t>
  </si>
  <si>
    <t xml:space="preserve">              Cells(r, 5).Value = "A"</t>
  </si>
  <si>
    <t xml:space="preserve">          ElseIf gesamt &gt;= 5000 Then</t>
  </si>
  <si>
    <t xml:space="preserve">              Cells(r, 5).Value = "B"</t>
  </si>
  <si>
    <t xml:space="preserve">          Else</t>
  </si>
  <si>
    <t xml:space="preserve">              Cells(r, 5).Value = "C"</t>
  </si>
  <si>
    <t xml:space="preserve">          End If</t>
  </si>
  <si>
    <t xml:space="preserve">          r = r + 1</t>
  </si>
  <si>
    <t xml:space="preserve">      Loop</t>
  </si>
  <si>
    <t>Set 10  ·  Prozeduren &amp; Funktionen</t>
  </si>
  <si>
    <t>Tag 2 - Nachmittag  ·  Function, Sub mit Parameter, UDF  ·  Datenblatt: Bestellungen</t>
  </si>
  <si>
    <t>10A  Die erste eigene Funktion (gemeinsam)</t>
  </si>
  <si>
    <t>Ziel: Eine Function schreiben und aus Code und aus einer Zelle aufrufen.</t>
  </si>
  <si>
    <t xml:space="preserve">  •  Function MitMwSt(netto As Double) As Double. Rueckgabe ueber den Funktionsnamen.</t>
  </si>
  <si>
    <t xml:space="preserve">  •  Aufruf aus Code MsgBox MitMwSt(100); aus einer Zelle =MitMwSt(C2). UDFs in ein normales Modul!</t>
  </si>
  <si>
    <t>10B  Bausteine bauen (solo/paar)</t>
  </si>
  <si>
    <t>Ziel: Wiederholten Code in Funktionen und eine parametrisierte Sub auslagern.</t>
  </si>
  <si>
    <t xml:space="preserve">  •  Function Rabattpreis, Function Klasse, Sub FormatiereKopf(bereich As Range). Code unten / vba/Modul10_Funktionen.bas.</t>
  </si>
  <si>
    <t xml:space="preserve">  •  FormatiereKopf wird vom Report-Generator (Set 12) wiederverwendet.</t>
  </si>
  <si>
    <t>➤  Vollstaendiges, importierbares Modul: vba/Modul10_Funktionen.bas (im VBA-Editor: Datei -&gt; Datei importieren).</t>
  </si>
  <si>
    <t xml:space="preserve">  Function MitMwSt(netto As Double) As Double</t>
  </si>
  <si>
    <t xml:space="preserve">      MitMwSt = netto * 1.19</t>
  </si>
  <si>
    <t xml:space="preserve">  End Function</t>
  </si>
  <si>
    <t xml:space="preserve">  Function Klasse(ByVal gesamt As Double) As String</t>
  </si>
  <si>
    <t xml:space="preserve">      If gesamt &gt;= 10000 Then</t>
  </si>
  <si>
    <t xml:space="preserve">          Klasse = "A"</t>
  </si>
  <si>
    <t xml:space="preserve">      ElseIf gesamt &gt;= 5000 Then</t>
  </si>
  <si>
    <t xml:space="preserve">          Klasse = "B"</t>
  </si>
  <si>
    <t xml:space="preserve">      Else</t>
  </si>
  <si>
    <t xml:space="preserve">          Klasse = "C"</t>
  </si>
  <si>
    <t xml:space="preserve">      End If</t>
  </si>
  <si>
    <t xml:space="preserve">  Sub FormatiereKopf(ByVal bereich As Range)</t>
  </si>
  <si>
    <t xml:space="preserve">      With bereich</t>
  </si>
  <si>
    <t>Set 11  ·  Fehlerbehandlung &amp; Debugging</t>
  </si>
  <si>
    <t>Tag 2 - Nachmittag  ·  F8, Debug.Print, On Error  ·  Datenblatt: Bestellungen</t>
  </si>
  <si>
    <t>11A  Dem Code beim Denken zusehen (gemeinsam)</t>
  </si>
  <si>
    <t>Ziel: Einen versteckten Logikfehler nur mit Debugging-Werkzeugen finden.</t>
  </si>
  <si>
    <t xml:space="preserve">  •  Haltepunkt (F9), mit F8 schrittweise, Variablen per Hover beobachten. Debug.Print ins Direktfenster (Strg+G).</t>
  </si>
  <si>
    <t xml:space="preserve">  •  Kein Laufzeitfehler bei falschem Ergebnis = Logikfehler. 'Profis lesen Code nicht - sie beobachten ihn.'</t>
  </si>
  <si>
    <t>11B  Robust machen (solo/paar)</t>
  </si>
  <si>
    <t>Ziel: Das Makro gegen Laufzeitfehler absichern - mit Kontext (wo &amp; was).</t>
  </si>
  <si>
    <t xml:space="preserve">  •  On Error GoTo Fehler; Exit Sub vor dem Label - sonst meldet es auch bei Erfolg. Code unten / vba/Modul11_Fehler.bas.</t>
  </si>
  <si>
    <t>11C  Weiterlaufen statt abbrechen (bonus)</t>
  </si>
  <si>
    <t>Ziel: Fehlerhafte Zeilen ueberspringen, markieren, am Ende berichten.</t>
  </si>
  <si>
    <t xml:space="preserve">  •  If IsNumeric(...) pruefen statt abstuerzen - die Bruecke zurueck zur Datenvalidierung von Tag 1.</t>
  </si>
  <si>
    <t>➤  Vollstaendiges, importierbares Modul: vba/Modul11_Fehler.bas (im VBA-Editor: Datei -&gt; Datei importieren).</t>
  </si>
  <si>
    <t xml:space="preserve">  Sub SpalteFuellenRobust()</t>
  </si>
  <si>
    <t xml:space="preserve">      On Error GoTo Fehler</t>
  </si>
  <si>
    <t xml:space="preserve">          Cells(r, 4).Value = Cells(r, 2).Value * Cells(r, 3).Value</t>
  </si>
  <si>
    <t xml:space="preserve">      Exit Sub</t>
  </si>
  <si>
    <t xml:space="preserve">  Fehler:</t>
  </si>
  <si>
    <t xml:space="preserve">      MsgBox "Problem in Zeile " &amp; r &amp; ": " &amp; Err.Description, vbExclamation</t>
  </si>
  <si>
    <t>Set 12  ·  Abschlussprojekt: Report-Generator</t>
  </si>
  <si>
    <t>Tag 2 - Nachmittag  ·  Alle Bausteine zusammen  ·  Datenblatt: Rohdaten</t>
  </si>
  <si>
    <t>12A  Das Geruest (gemeinsam)</t>
  </si>
  <si>
    <t>Ziel: Den Plan als Kommentarzeilen ins leere Makro schreiben - der Plan ist das Geruest.</t>
  </si>
  <si>
    <t xml:space="preserve">  •  Schritte 1-6 als Kommentare. Blatt 'Report' anlegen (alt loeschen via DisplayAlerts=False).</t>
  </si>
  <si>
    <t xml:space="preserve">  •  Kopfzeile mit FormatiereKopf aus Set 10 formatieren - der Wiederverwendungs-Moment.</t>
  </si>
  <si>
    <t>12B  Der Ausbau - Schritte 3-6 (paar)</t>
  </si>
  <si>
    <t>Ziel: Zwei Zaehler: Lesezeile (Rohdaten) und Schreibzeile (Report) laufen unterschiedlich schnell.</t>
  </si>
  <si>
    <t xml:space="preserve">  •  Rohdaten durchlaufen, Region 'Sued' uebertragen, Provision (3 %) je Zeile, Betraege &gt;= 10.000 markieren.</t>
  </si>
  <si>
    <t xml:space="preserve">  •  Blattbezug nicht vergessen: Worksheets("Rohdaten").Cells(...). Code unten / vba/Modul12_Report.bas.</t>
  </si>
  <si>
    <t>12C  Ausbaustufen fuer Schnelle (bonus)</t>
  </si>
  <si>
    <t>Ziel: Den Generator eigenstaendig erweitern.</t>
  </si>
  <si>
    <t xml:space="preserve">  •  Region per InputBox, Summenzeile, Zeitstempel in A1, Formular-Button auf dem Rohdaten-Blatt.</t>
  </si>
  <si>
    <t>➤  Vollstaendiges, importierbares Modul: vba/Modul12_Report.bas (im VBA-Editor: Datei -&gt; Datei importieren).</t>
  </si>
  <si>
    <t xml:space="preserve">  Sub ReportErstellen()</t>
  </si>
  <si>
    <t xml:space="preserve">      ' 1. Blatt "Report" anlegen (alt loeschen)</t>
  </si>
  <si>
    <t xml:space="preserve">      ' 2. Kopfzeile schreiben + FormatiereKopf (Set 10)</t>
  </si>
  <si>
    <t xml:space="preserve">      ' 3. Rohdaten durchlaufen, Region "Sued" uebertragen</t>
  </si>
  <si>
    <t xml:space="preserve">      ' 4. Provision (3 %) je Zeile ueber Function</t>
  </si>
  <si>
    <t xml:space="preserve">      ' 5. Betraege &gt;= 10.000 farblich markieren</t>
  </si>
  <si>
    <t xml:space="preserve">      ' 6. On Error + Erfolgsmeldung mit Zeilenzaehler</t>
  </si>
  <si>
    <t xml:space="preserve">      Dim wsRoh As Worksheet, wsRep As Worksheet</t>
  </si>
  <si>
    <t xml:space="preserve">      Dim leseZeile As Long, schreibZeile As Long</t>
  </si>
  <si>
    <t xml:space="preserve">      Const region As String = "Sued"</t>
  </si>
  <si>
    <t xml:space="preserve">      Set wsRoh = Worksheets("Rohdaten")</t>
  </si>
  <si>
    <t xml:space="preserve">      Application.DisplayAlerts = False</t>
  </si>
  <si>
    <t xml:space="preserve">      On Error Resume Next: Worksheets("Report").Delete: On Error GoTo 0</t>
  </si>
  <si>
    <t xml:space="preserve">      Application.DisplayAlerts = True</t>
  </si>
  <si>
    <t xml:space="preserve">      Set wsRep = Worksheets.Add</t>
  </si>
  <si>
    <t xml:space="preserve">      wsRep.Name = "Report"</t>
  </si>
  <si>
    <t xml:space="preserve">      leseZeile = 2: schreibZeile = 2</t>
  </si>
  <si>
    <t xml:space="preserve">      Do While wsRoh.Cells(leseZeile, 1).Value &lt;&gt; ""</t>
  </si>
  <si>
    <t xml:space="preserve">          If wsRoh.Cells(leseZeile, 3).Value = region Then</t>
  </si>
  <si>
    <t xml:space="preserve">              wsRep.Cells(schreibZeile, 1).Value = wsRoh.Cells(leseZeile, 1).Value</t>
  </si>
  <si>
    <t xml:space="preserve">              wsRep.Cells(schreibZeile, 2).Value = wsRoh.Cells(leseZeile, 2).Value</t>
  </si>
  <si>
    <t xml:space="preserve">              wsRep.Cells(schreibZeile, 3).Value = wsRoh.Cells(leseZeile, 3).Value</t>
  </si>
  <si>
    <t xml:space="preserve">              wsRep.Cells(schreibZeile, 4).Value = wsRoh.Cells(leseZeile, 4).Value * 0.03</t>
  </si>
  <si>
    <t xml:space="preserve">              schreibZeile = schreibZeile + 1</t>
  </si>
  <si>
    <t xml:space="preserve">          leseZeile = leseZeile + 1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</si>
</sst>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5" formatCode="#,##0.00\ &quot;€&quot;"/>
    <numFmt numFmtId="166" formatCode="#,##0\ &quot;€&quot;"/>
  </numFmts>
  <fonts count="12" x14ac:knownFonts="1">
    <font>
      <sz val="11"/>
      <color theme="1"/>
      <name val="Calibri"/>
      <family val="2"/>
      <scheme val="minor"/>
    </font>
    <font>
      <b/>
      <sz val="15"/>
      <color rgb="FFFFFFFF"/>
      <name val="Segoe UI"/>
    </font>
    <font>
      <i/>
      <sz val="10"/>
      <color rgb="FFFFFFFF"/>
      <name val="Segoe UI"/>
    </font>
    <font>
      <sz val="10"/>
      <color rgb="FF333333"/>
      <name val="Segoe UI"/>
    </font>
    <font>
      <b/>
      <sz val="10"/>
      <color rgb="FFFFFFFF"/>
      <name val="Segoe UI"/>
    </font>
    <font>
      <b/>
      <sz val="10"/>
      <color rgb="FF0D2A5C"/>
      <name val="Segoe UI"/>
    </font>
    <font>
      <i/>
      <sz val="9"/>
      <color rgb="FF555555"/>
      <name val="Segoe UI"/>
    </font>
    <font>
      <b/>
      <sz val="11"/>
      <color rgb="FF0D2A5C"/>
      <name val="Segoe UI"/>
    </font>
    <font>
      <b/>
      <sz val="10"/>
      <color rgb="FF164194"/>
      <name val="Segoe UI"/>
    </font>
    <font>
      <i/>
      <sz val="9"/>
      <color rgb="FF1E7E34"/>
      <name val="Segoe UI"/>
    </font>
    <font>
      <sz val="9"/>
      <color rgb="FF7FA6E8"/>
      <name val="Consolas"/>
    </font>
    <font>
      <sz val="10"/>
      <color rgb="FFE6ECFF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164194"/>
      </patternFill>
    </fill>
    <fill>
      <patternFill patternType="solid">
        <fgColor rgb="FF0D2A5C"/>
      </patternFill>
    </fill>
    <fill>
      <patternFill patternType="solid">
        <fgColor rgb="FFEAF0FB"/>
      </patternFill>
    </fill>
    <fill>
      <patternFill patternType="solid">
        <fgColor rgb="FFFFF7DD"/>
      </patternFill>
    </fill>
    <fill>
      <patternFill patternType="solid">
        <fgColor rgb="FFEAF6EE"/>
      </patternFill>
    </fill>
  </fills>
  <borders count="2">
    <border>
      <left/>
      <right/>
      <top/>
      <bottom/>
      <diagonal/>
    </border>
    <border>
      <left style="thin">
        <color rgb="FFC9D4E6"/>
      </left>
      <right style="thin">
        <color rgb="FFC9D4E6"/>
      </right>
      <top style="thin">
        <color rgb="FFC9D4E6"/>
      </top>
      <bottom style="thin">
        <color rgb="FFC9D4E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2" borderId="0" xfId="0" applyFont="1" applyFill="1" applyAlignment="1">
      <alignment vertical="center" indent="1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 indent="1"/>
    </xf>
    <xf numFmtId="165" fontId="0" fillId="0" borderId="0" xfId="0" applyNumberFormat="1"/>
    <xf numFmtId="0" fontId="0" fillId="5" borderId="1" xfId="0" applyFill="1" applyBorder="1"/>
    <xf numFmtId="165" fontId="0" fillId="5" borderId="1" xfId="0" applyNumberFormat="1" applyFill="1" applyBorder="1"/>
    <xf numFmtId="164" fontId="0" fillId="0" borderId="0" xfId="0" applyNumberFormat="1"/>
    <xf numFmtId="0" fontId="5" fillId="0" borderId="0" xfId="0" applyFont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0" fillId="0" borderId="1" xfId="0" applyBorder="1"/>
    <xf numFmtId="166" fontId="0" fillId="5" borderId="1" xfId="0" applyNumberFormat="1" applyFill="1" applyBorder="1"/>
    <xf numFmtId="0" fontId="4" fillId="2" borderId="0" xfId="0" applyFont="1" applyFill="1"/>
    <xf numFmtId="165" fontId="0" fillId="0" borderId="1" xfId="0" applyNumberFormat="1" applyBorder="1"/>
    <xf numFmtId="0" fontId="2" fillId="3" borderId="0" xfId="0" applyFont="1" applyFill="1" applyAlignment="1">
      <alignment vertical="center" indent="1"/>
    </xf>
    <xf numFmtId="0" fontId="0" fillId="0" borderId="0" xfId="0"/>
    <xf numFmtId="0" fontId="1" fillId="2" borderId="0" xfId="0" applyFont="1" applyFill="1" applyAlignment="1">
      <alignment vertical="center" inden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9" fillId="6" borderId="0" xfId="0" applyFont="1" applyFill="1" applyAlignment="1">
      <alignment vertical="top" wrapText="1"/>
    </xf>
    <xf numFmtId="0" fontId="7" fillId="4" borderId="0" xfId="0" applyFont="1" applyFill="1" applyAlignment="1">
      <alignment vertical="center" indent="1"/>
    </xf>
    <xf numFmtId="0" fontId="5" fillId="4" borderId="0" xfId="0" applyFont="1" applyFill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11" fillId="3" borderId="0" xfId="0" applyFont="1" applyFill="1" applyAlignment="1">
      <alignment vertical="center"/>
    </xf>
    <xf numFmtId="0" fontId="10" fillId="3" borderId="0" xfId="0" applyFont="1" applyFill="1" applyAlignment="1">
      <alignment vertical="top" wrapText="1"/>
    </xf>
    <xf numFmtId="14" fontId="0" fillId="0" borderId="0" xfId="0" applyNumberFormat="1"/>
    <xf numFmtId="14" fontId="4" fillId="2" borderId="0" xfId="0" applyNumberFormat="1" applyFont="1" applyFill="1" applyAlignment="1">
      <alignment vertical="center" indent="1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4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3CF3B42-C8B3-44B8-A883-99BE48406EA1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965931fc-2d33-4c6f-b1f4-522ac29cd18c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pane ySplit="3" topLeftCell="A4" activePane="bottomLeft" state="frozen"/>
      <selection pane="bottomLeft" activeCell="D7" sqref="D7"/>
    </sheetView>
  </sheetViews>
  <sheetFormatPr defaultRowHeight="14.4" x14ac:dyDescent="0.3"/>
  <cols>
    <col min="1" max="1" width="6" customWidth="1"/>
    <col min="2" max="2" width="38" customWidth="1"/>
    <col min="3" max="3" width="22" customWidth="1"/>
    <col min="4" max="4" width="40" customWidth="1"/>
    <col min="5" max="5" width="22" customWidth="1"/>
  </cols>
  <sheetData>
    <row r="1" spans="1:5" ht="30" customHeight="1" x14ac:dyDescent="0.3">
      <c r="A1" s="17" t="s">
        <v>0</v>
      </c>
      <c r="B1" s="16"/>
      <c r="C1" s="16"/>
      <c r="D1" s="16"/>
      <c r="E1" s="16"/>
    </row>
    <row r="2" spans="1:5" ht="19.95" customHeight="1" x14ac:dyDescent="0.3">
      <c r="A2" s="15" t="s">
        <v>1</v>
      </c>
      <c r="B2" s="16"/>
      <c r="C2" s="16"/>
      <c r="D2" s="16"/>
      <c r="E2" s="16"/>
    </row>
    <row r="4" spans="1:5" ht="46.05" customHeight="1" x14ac:dyDescent="0.3">
      <c r="A4" s="18" t="s">
        <v>2</v>
      </c>
      <c r="B4" s="16"/>
      <c r="C4" s="16"/>
      <c r="D4" s="16"/>
      <c r="E4" s="16"/>
    </row>
    <row r="6" spans="1:5" ht="19.95" customHeight="1" x14ac:dyDescent="0.3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</row>
    <row r="7" spans="1:5" ht="28.8" x14ac:dyDescent="0.3">
      <c r="A7" s="2">
        <v>1</v>
      </c>
      <c r="B7" s="3" t="s">
        <v>8</v>
      </c>
      <c r="C7" s="3" t="s">
        <v>9</v>
      </c>
      <c r="D7" s="3" t="s">
        <v>10</v>
      </c>
      <c r="E7" s="3" t="s">
        <v>11</v>
      </c>
    </row>
    <row r="8" spans="1:5" ht="15" x14ac:dyDescent="0.3">
      <c r="A8" s="2">
        <v>2</v>
      </c>
      <c r="B8" s="3" t="s">
        <v>12</v>
      </c>
      <c r="C8" s="3" t="s">
        <v>9</v>
      </c>
      <c r="D8" s="3" t="s">
        <v>13</v>
      </c>
      <c r="E8" s="3" t="s">
        <v>14</v>
      </c>
    </row>
    <row r="9" spans="1:5" ht="36.6" customHeight="1" x14ac:dyDescent="0.3">
      <c r="A9" s="2">
        <v>3</v>
      </c>
      <c r="B9" s="3" t="s">
        <v>15</v>
      </c>
      <c r="C9" s="3" t="s">
        <v>9</v>
      </c>
      <c r="D9" s="3" t="s">
        <v>16</v>
      </c>
      <c r="E9" s="3" t="s">
        <v>17</v>
      </c>
    </row>
    <row r="10" spans="1:5" ht="15" x14ac:dyDescent="0.3">
      <c r="A10" s="2">
        <v>4</v>
      </c>
      <c r="B10" s="3" t="s">
        <v>18</v>
      </c>
      <c r="C10" s="3" t="s">
        <v>19</v>
      </c>
      <c r="D10" s="3" t="s">
        <v>20</v>
      </c>
      <c r="E10" s="3" t="s">
        <v>14</v>
      </c>
    </row>
    <row r="11" spans="1:5" ht="42" customHeight="1" x14ac:dyDescent="0.3">
      <c r="A11" s="2">
        <v>5</v>
      </c>
      <c r="B11" s="3" t="s">
        <v>21</v>
      </c>
      <c r="C11" s="3" t="s">
        <v>19</v>
      </c>
      <c r="D11" s="3" t="s">
        <v>22</v>
      </c>
      <c r="E11" s="3" t="s">
        <v>23</v>
      </c>
    </row>
    <row r="12" spans="1:5" ht="38.4" customHeight="1" x14ac:dyDescent="0.3">
      <c r="A12" s="2">
        <v>6</v>
      </c>
      <c r="B12" s="3" t="s">
        <v>24</v>
      </c>
      <c r="C12" s="3" t="s">
        <v>19</v>
      </c>
      <c r="D12" s="3" t="s">
        <v>25</v>
      </c>
      <c r="E12" s="3" t="s">
        <v>26</v>
      </c>
    </row>
    <row r="13" spans="1:5" ht="41.4" customHeight="1" x14ac:dyDescent="0.3">
      <c r="A13" s="2">
        <v>7</v>
      </c>
      <c r="B13" s="3" t="s">
        <v>27</v>
      </c>
      <c r="C13" s="3" t="s">
        <v>28</v>
      </c>
      <c r="D13" s="3" t="s">
        <v>29</v>
      </c>
      <c r="E13" s="3" t="s">
        <v>30</v>
      </c>
    </row>
    <row r="14" spans="1:5" ht="15" x14ac:dyDescent="0.3">
      <c r="A14" s="2">
        <v>8</v>
      </c>
      <c r="B14" s="3" t="s">
        <v>31</v>
      </c>
      <c r="C14" s="3" t="s">
        <v>28</v>
      </c>
      <c r="D14" s="3" t="s">
        <v>32</v>
      </c>
      <c r="E14" s="3" t="s">
        <v>33</v>
      </c>
    </row>
    <row r="15" spans="1:5" ht="15" x14ac:dyDescent="0.3">
      <c r="A15" s="2">
        <v>9</v>
      </c>
      <c r="B15" s="3" t="s">
        <v>34</v>
      </c>
      <c r="C15" s="3" t="s">
        <v>35</v>
      </c>
      <c r="D15" s="3" t="s">
        <v>36</v>
      </c>
      <c r="E15" s="3" t="s">
        <v>33</v>
      </c>
    </row>
    <row r="16" spans="1:5" ht="15" x14ac:dyDescent="0.3">
      <c r="A16" s="2">
        <v>10</v>
      </c>
      <c r="B16" s="3" t="s">
        <v>37</v>
      </c>
      <c r="C16" s="3" t="s">
        <v>35</v>
      </c>
      <c r="D16" s="3" t="s">
        <v>38</v>
      </c>
      <c r="E16" s="3" t="s">
        <v>33</v>
      </c>
    </row>
    <row r="17" spans="1:5" ht="15" x14ac:dyDescent="0.3">
      <c r="A17" s="2">
        <v>11</v>
      </c>
      <c r="B17" s="3" t="s">
        <v>39</v>
      </c>
      <c r="C17" s="3" t="s">
        <v>35</v>
      </c>
      <c r="D17" s="3" t="s">
        <v>40</v>
      </c>
      <c r="E17" s="3" t="s">
        <v>33</v>
      </c>
    </row>
    <row r="18" spans="1:5" ht="15" x14ac:dyDescent="0.3">
      <c r="A18" s="2">
        <v>12</v>
      </c>
      <c r="B18" s="3" t="s">
        <v>41</v>
      </c>
      <c r="C18" s="3" t="s">
        <v>35</v>
      </c>
      <c r="D18" s="3" t="s">
        <v>42</v>
      </c>
      <c r="E18" s="3" t="s">
        <v>30</v>
      </c>
    </row>
    <row r="20" spans="1:5" ht="40.049999999999997" customHeight="1" x14ac:dyDescent="0.3">
      <c r="A20" s="19" t="s">
        <v>43</v>
      </c>
      <c r="B20" s="16"/>
      <c r="C20" s="16"/>
      <c r="D20" s="16"/>
      <c r="E20" s="16"/>
    </row>
  </sheetData>
  <mergeCells count="4">
    <mergeCell ref="A2:E2"/>
    <mergeCell ref="A1:E1"/>
    <mergeCell ref="A4:E4"/>
    <mergeCell ref="A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>
      <pane ySplit="1" topLeftCell="A2" activePane="bottomLeft" state="frozen"/>
      <selection pane="bottomLeft" activeCell="H2" sqref="H2"/>
    </sheetView>
  </sheetViews>
  <sheetFormatPr defaultRowHeight="14.4" x14ac:dyDescent="0.3"/>
  <cols>
    <col min="1" max="1" width="10" customWidth="1"/>
    <col min="2" max="2" width="26" customWidth="1"/>
    <col min="3" max="3" width="18" customWidth="1"/>
    <col min="4" max="4" width="14" customWidth="1"/>
    <col min="8" max="8" width="12.21875" customWidth="1"/>
  </cols>
  <sheetData>
    <row r="1" spans="1:8" ht="19.95" customHeight="1" x14ac:dyDescent="0.3">
      <c r="A1" s="1" t="s">
        <v>44</v>
      </c>
      <c r="B1" s="1" t="s">
        <v>45</v>
      </c>
      <c r="C1" s="1" t="s">
        <v>46</v>
      </c>
      <c r="D1" s="1" t="s">
        <v>47</v>
      </c>
    </row>
    <row r="2" spans="1:8" x14ac:dyDescent="0.3">
      <c r="A2">
        <v>1001</v>
      </c>
      <c r="B2" t="s">
        <v>48</v>
      </c>
      <c r="C2" t="s">
        <v>49</v>
      </c>
      <c r="D2" s="4">
        <v>16.53</v>
      </c>
      <c r="H2">
        <f>SUM(Preis)</f>
        <v>2863.0400000000004</v>
      </c>
    </row>
    <row r="3" spans="1:8" x14ac:dyDescent="0.3">
      <c r="A3">
        <v>1002</v>
      </c>
      <c r="B3" t="s">
        <v>50</v>
      </c>
      <c r="C3" t="s">
        <v>49</v>
      </c>
      <c r="D3" s="4">
        <v>2.09</v>
      </c>
    </row>
    <row r="4" spans="1:8" x14ac:dyDescent="0.3">
      <c r="A4">
        <v>1003</v>
      </c>
      <c r="B4" t="s">
        <v>51</v>
      </c>
      <c r="C4" t="s">
        <v>49</v>
      </c>
      <c r="D4" s="4">
        <v>7.96</v>
      </c>
    </row>
    <row r="5" spans="1:8" x14ac:dyDescent="0.3">
      <c r="A5">
        <v>1004</v>
      </c>
      <c r="B5" t="s">
        <v>52</v>
      </c>
      <c r="C5" t="s">
        <v>49</v>
      </c>
      <c r="D5" s="4">
        <v>6.75</v>
      </c>
    </row>
    <row r="6" spans="1:8" x14ac:dyDescent="0.3">
      <c r="A6">
        <v>1005</v>
      </c>
      <c r="B6" t="s">
        <v>53</v>
      </c>
      <c r="C6" t="s">
        <v>49</v>
      </c>
      <c r="D6" s="4">
        <v>18.809999999999999</v>
      </c>
    </row>
    <row r="7" spans="1:8" x14ac:dyDescent="0.3">
      <c r="A7">
        <v>1006</v>
      </c>
      <c r="B7" t="s">
        <v>54</v>
      </c>
      <c r="C7" t="s">
        <v>49</v>
      </c>
      <c r="D7" s="4">
        <v>17.399999999999999</v>
      </c>
    </row>
    <row r="8" spans="1:8" x14ac:dyDescent="0.3">
      <c r="A8">
        <v>1007</v>
      </c>
      <c r="B8" t="s">
        <v>55</v>
      </c>
      <c r="C8" t="s">
        <v>49</v>
      </c>
      <c r="D8" s="4">
        <v>22.47</v>
      </c>
    </row>
    <row r="9" spans="1:8" x14ac:dyDescent="0.3">
      <c r="A9">
        <v>1008</v>
      </c>
      <c r="B9" t="s">
        <v>56</v>
      </c>
      <c r="C9" t="s">
        <v>49</v>
      </c>
      <c r="D9" s="4">
        <v>3.54</v>
      </c>
    </row>
    <row r="10" spans="1:8" x14ac:dyDescent="0.3">
      <c r="A10">
        <v>1009</v>
      </c>
      <c r="B10" t="s">
        <v>57</v>
      </c>
      <c r="C10" t="s">
        <v>49</v>
      </c>
      <c r="D10" s="4">
        <v>11.42</v>
      </c>
    </row>
    <row r="11" spans="1:8" x14ac:dyDescent="0.3">
      <c r="A11">
        <v>1010</v>
      </c>
      <c r="B11" t="s">
        <v>58</v>
      </c>
      <c r="C11" t="s">
        <v>49</v>
      </c>
      <c r="D11" s="4">
        <v>2.2000000000000002</v>
      </c>
    </row>
    <row r="12" spans="1:8" x14ac:dyDescent="0.3">
      <c r="A12">
        <v>1011</v>
      </c>
      <c r="B12" t="s">
        <v>59</v>
      </c>
      <c r="C12" t="s">
        <v>49</v>
      </c>
      <c r="D12" s="4">
        <v>6.64</v>
      </c>
    </row>
    <row r="13" spans="1:8" x14ac:dyDescent="0.3">
      <c r="A13">
        <v>1012</v>
      </c>
      <c r="B13" t="s">
        <v>60</v>
      </c>
      <c r="C13" t="s">
        <v>49</v>
      </c>
      <c r="D13" s="4">
        <v>13.38</v>
      </c>
    </row>
    <row r="14" spans="1:8" x14ac:dyDescent="0.3">
      <c r="A14">
        <v>1013</v>
      </c>
      <c r="B14" t="s">
        <v>61</v>
      </c>
      <c r="C14" t="s">
        <v>49</v>
      </c>
      <c r="D14" s="4">
        <v>2.12</v>
      </c>
    </row>
    <row r="15" spans="1:8" x14ac:dyDescent="0.3">
      <c r="A15">
        <v>1014</v>
      </c>
      <c r="B15" t="s">
        <v>62</v>
      </c>
      <c r="C15" t="s">
        <v>49</v>
      </c>
      <c r="D15" s="4">
        <v>6.17</v>
      </c>
    </row>
    <row r="16" spans="1:8" x14ac:dyDescent="0.3">
      <c r="A16">
        <v>1015</v>
      </c>
      <c r="B16" t="s">
        <v>63</v>
      </c>
      <c r="C16" t="s">
        <v>49</v>
      </c>
      <c r="D16" s="4">
        <v>16.77</v>
      </c>
    </row>
    <row r="17" spans="1:4" x14ac:dyDescent="0.3">
      <c r="A17">
        <v>1016</v>
      </c>
      <c r="B17" t="s">
        <v>64</v>
      </c>
      <c r="C17" t="s">
        <v>65</v>
      </c>
      <c r="D17" s="4">
        <v>178.02</v>
      </c>
    </row>
    <row r="18" spans="1:4" x14ac:dyDescent="0.3">
      <c r="A18">
        <v>1017</v>
      </c>
      <c r="B18" t="s">
        <v>66</v>
      </c>
      <c r="C18" t="s">
        <v>65</v>
      </c>
      <c r="D18" s="4">
        <v>76.78</v>
      </c>
    </row>
    <row r="19" spans="1:4" x14ac:dyDescent="0.3">
      <c r="A19">
        <v>1018</v>
      </c>
      <c r="B19" t="s">
        <v>67</v>
      </c>
      <c r="C19" t="s">
        <v>65</v>
      </c>
      <c r="D19" s="4">
        <v>191.85</v>
      </c>
    </row>
    <row r="20" spans="1:4" x14ac:dyDescent="0.3">
      <c r="A20">
        <v>1019</v>
      </c>
      <c r="B20" t="s">
        <v>68</v>
      </c>
      <c r="C20" t="s">
        <v>65</v>
      </c>
      <c r="D20" s="4">
        <v>260.54000000000002</v>
      </c>
    </row>
    <row r="21" spans="1:4" x14ac:dyDescent="0.3">
      <c r="A21">
        <v>1020</v>
      </c>
      <c r="B21" t="s">
        <v>69</v>
      </c>
      <c r="C21" t="s">
        <v>65</v>
      </c>
      <c r="D21" s="4">
        <v>10.029999999999999</v>
      </c>
    </row>
    <row r="22" spans="1:4" x14ac:dyDescent="0.3">
      <c r="A22">
        <v>1021</v>
      </c>
      <c r="B22" t="s">
        <v>70</v>
      </c>
      <c r="C22" t="s">
        <v>65</v>
      </c>
      <c r="D22" s="4">
        <v>259.42</v>
      </c>
    </row>
    <row r="23" spans="1:4" x14ac:dyDescent="0.3">
      <c r="A23">
        <v>1022</v>
      </c>
      <c r="B23" t="s">
        <v>71</v>
      </c>
      <c r="C23" t="s">
        <v>65</v>
      </c>
      <c r="D23" s="4">
        <v>225.82</v>
      </c>
    </row>
    <row r="24" spans="1:4" x14ac:dyDescent="0.3">
      <c r="A24">
        <v>1023</v>
      </c>
      <c r="B24" t="s">
        <v>72</v>
      </c>
      <c r="C24" t="s">
        <v>65</v>
      </c>
      <c r="D24" s="4">
        <v>114.16</v>
      </c>
    </row>
    <row r="25" spans="1:4" x14ac:dyDescent="0.3">
      <c r="A25">
        <v>1024</v>
      </c>
      <c r="B25" t="s">
        <v>73</v>
      </c>
      <c r="C25" t="s">
        <v>65</v>
      </c>
      <c r="D25" s="4">
        <v>56.51</v>
      </c>
    </row>
    <row r="26" spans="1:4" x14ac:dyDescent="0.3">
      <c r="A26">
        <v>1025</v>
      </c>
      <c r="B26" t="s">
        <v>74</v>
      </c>
      <c r="C26" t="s">
        <v>65</v>
      </c>
      <c r="D26" s="4">
        <v>306.64999999999998</v>
      </c>
    </row>
    <row r="27" spans="1:4" x14ac:dyDescent="0.3">
      <c r="A27">
        <v>1026</v>
      </c>
      <c r="B27" t="s">
        <v>75</v>
      </c>
      <c r="C27" t="s">
        <v>65</v>
      </c>
      <c r="D27" s="4">
        <v>113.02</v>
      </c>
    </row>
    <row r="28" spans="1:4" x14ac:dyDescent="0.3">
      <c r="A28">
        <v>1027</v>
      </c>
      <c r="B28" t="s">
        <v>76</v>
      </c>
      <c r="C28" t="s">
        <v>65</v>
      </c>
      <c r="D28" s="4">
        <v>36.94</v>
      </c>
    </row>
    <row r="29" spans="1:4" x14ac:dyDescent="0.3">
      <c r="A29">
        <v>1028</v>
      </c>
      <c r="B29" t="s">
        <v>77</v>
      </c>
      <c r="C29" t="s">
        <v>65</v>
      </c>
      <c r="D29" s="4">
        <v>38.18</v>
      </c>
    </row>
    <row r="30" spans="1:4" x14ac:dyDescent="0.3">
      <c r="A30">
        <v>1029</v>
      </c>
      <c r="B30" t="s">
        <v>78</v>
      </c>
      <c r="C30" t="s">
        <v>65</v>
      </c>
      <c r="D30" s="4">
        <v>272.42</v>
      </c>
    </row>
    <row r="31" spans="1:4" x14ac:dyDescent="0.3">
      <c r="A31">
        <v>1030</v>
      </c>
      <c r="B31" t="s">
        <v>79</v>
      </c>
      <c r="C31" t="s">
        <v>80</v>
      </c>
      <c r="D31" s="4">
        <v>28.36</v>
      </c>
    </row>
    <row r="32" spans="1:4" x14ac:dyDescent="0.3">
      <c r="A32">
        <v>1031</v>
      </c>
      <c r="B32" t="s">
        <v>81</v>
      </c>
      <c r="C32" t="s">
        <v>80</v>
      </c>
      <c r="D32" s="4">
        <v>36.9</v>
      </c>
    </row>
    <row r="33" spans="1:4" x14ac:dyDescent="0.3">
      <c r="A33">
        <v>1032</v>
      </c>
      <c r="B33" t="s">
        <v>82</v>
      </c>
      <c r="C33" t="s">
        <v>80</v>
      </c>
      <c r="D33" s="4">
        <v>33.65</v>
      </c>
    </row>
    <row r="34" spans="1:4" x14ac:dyDescent="0.3">
      <c r="A34">
        <v>1033</v>
      </c>
      <c r="B34" t="s">
        <v>83</v>
      </c>
      <c r="C34" t="s">
        <v>80</v>
      </c>
      <c r="D34" s="4">
        <v>25.52</v>
      </c>
    </row>
    <row r="35" spans="1:4" x14ac:dyDescent="0.3">
      <c r="A35">
        <v>1034</v>
      </c>
      <c r="B35" t="s">
        <v>84</v>
      </c>
      <c r="C35" t="s">
        <v>80</v>
      </c>
      <c r="D35" s="4">
        <v>43.87</v>
      </c>
    </row>
    <row r="36" spans="1:4" x14ac:dyDescent="0.3">
      <c r="A36">
        <v>1035</v>
      </c>
      <c r="B36" t="s">
        <v>85</v>
      </c>
      <c r="C36" t="s">
        <v>80</v>
      </c>
      <c r="D36" s="4">
        <v>18.899999999999999</v>
      </c>
    </row>
    <row r="37" spans="1:4" x14ac:dyDescent="0.3">
      <c r="A37">
        <v>1036</v>
      </c>
      <c r="B37" t="s">
        <v>86</v>
      </c>
      <c r="C37" t="s">
        <v>80</v>
      </c>
      <c r="D37" s="4">
        <v>26.19</v>
      </c>
    </row>
    <row r="38" spans="1:4" x14ac:dyDescent="0.3">
      <c r="A38">
        <v>1037</v>
      </c>
      <c r="B38" t="s">
        <v>87</v>
      </c>
      <c r="C38" t="s">
        <v>80</v>
      </c>
      <c r="D38" s="4">
        <v>37.83</v>
      </c>
    </row>
    <row r="39" spans="1:4" x14ac:dyDescent="0.3">
      <c r="A39">
        <v>1038</v>
      </c>
      <c r="B39" t="s">
        <v>88</v>
      </c>
      <c r="C39" t="s">
        <v>89</v>
      </c>
      <c r="D39" s="4">
        <v>57.96</v>
      </c>
    </row>
    <row r="40" spans="1:4" x14ac:dyDescent="0.3">
      <c r="A40">
        <v>1039</v>
      </c>
      <c r="B40" t="s">
        <v>90</v>
      </c>
      <c r="C40" t="s">
        <v>89</v>
      </c>
      <c r="D40" s="4">
        <v>78.38</v>
      </c>
    </row>
    <row r="41" spans="1:4" x14ac:dyDescent="0.3">
      <c r="A41">
        <v>1040</v>
      </c>
      <c r="B41" t="s">
        <v>91</v>
      </c>
      <c r="C41" t="s">
        <v>89</v>
      </c>
      <c r="D41" s="4">
        <v>54.5</v>
      </c>
    </row>
    <row r="42" spans="1:4" x14ac:dyDescent="0.3">
      <c r="A42">
        <v>1041</v>
      </c>
      <c r="B42" t="s">
        <v>92</v>
      </c>
      <c r="C42" t="s">
        <v>89</v>
      </c>
      <c r="D42" s="4">
        <v>65.180000000000007</v>
      </c>
    </row>
    <row r="43" spans="1:4" x14ac:dyDescent="0.3">
      <c r="A43">
        <v>1042</v>
      </c>
      <c r="B43" t="s">
        <v>93</v>
      </c>
      <c r="C43" t="s">
        <v>89</v>
      </c>
      <c r="D43" s="4">
        <v>9.85</v>
      </c>
    </row>
    <row r="44" spans="1:4" x14ac:dyDescent="0.3">
      <c r="A44">
        <v>1043</v>
      </c>
      <c r="B44" t="s">
        <v>94</v>
      </c>
      <c r="C44" t="s">
        <v>95</v>
      </c>
      <c r="D44" s="4">
        <v>5.65</v>
      </c>
    </row>
    <row r="45" spans="1:4" x14ac:dyDescent="0.3">
      <c r="A45">
        <v>1044</v>
      </c>
      <c r="B45" t="s">
        <v>96</v>
      </c>
      <c r="C45" t="s">
        <v>95</v>
      </c>
      <c r="D45" s="4">
        <v>6.63</v>
      </c>
    </row>
    <row r="46" spans="1:4" x14ac:dyDescent="0.3">
      <c r="A46">
        <v>1045</v>
      </c>
      <c r="B46" t="s">
        <v>97</v>
      </c>
      <c r="C46" t="s">
        <v>95</v>
      </c>
      <c r="D46" s="4">
        <v>3.28</v>
      </c>
    </row>
    <row r="47" spans="1:4" x14ac:dyDescent="0.3">
      <c r="A47">
        <v>1046</v>
      </c>
      <c r="B47" t="s">
        <v>98</v>
      </c>
      <c r="C47" t="s">
        <v>95</v>
      </c>
      <c r="D47" s="4">
        <v>5.72</v>
      </c>
    </row>
    <row r="48" spans="1:4" x14ac:dyDescent="0.3">
      <c r="A48">
        <v>1047</v>
      </c>
      <c r="B48" t="s">
        <v>99</v>
      </c>
      <c r="C48" t="s">
        <v>95</v>
      </c>
      <c r="D48" s="4">
        <v>3.62</v>
      </c>
    </row>
    <row r="49" spans="1:4" x14ac:dyDescent="0.3">
      <c r="A49">
        <v>1048</v>
      </c>
      <c r="B49" t="s">
        <v>100</v>
      </c>
      <c r="C49" t="s">
        <v>95</v>
      </c>
      <c r="D49" s="4">
        <v>6.45</v>
      </c>
    </row>
    <row r="50" spans="1:4" x14ac:dyDescent="0.3">
      <c r="A50">
        <v>1049</v>
      </c>
      <c r="B50" t="s">
        <v>101</v>
      </c>
      <c r="C50" t="s">
        <v>95</v>
      </c>
      <c r="D50" s="4">
        <v>12.17</v>
      </c>
    </row>
    <row r="51" spans="1:4" x14ac:dyDescent="0.3">
      <c r="A51">
        <v>1050</v>
      </c>
      <c r="B51" t="s">
        <v>102</v>
      </c>
      <c r="C51" t="s">
        <v>95</v>
      </c>
      <c r="D51" s="4">
        <v>7.84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>
      <pane ySplit="1" topLeftCell="A2" activePane="bottomLeft" state="frozen"/>
      <selection pane="bottomLeft" activeCell="H2" sqref="H2"/>
    </sheetView>
  </sheetViews>
  <sheetFormatPr defaultRowHeight="14.4" x14ac:dyDescent="0.3"/>
  <cols>
    <col min="1" max="1" width="26.6640625" customWidth="1"/>
    <col min="2" max="2" width="13.44140625" customWidth="1"/>
    <col min="3" max="3" width="20" customWidth="1"/>
    <col min="4" max="5" width="24" customWidth="1"/>
    <col min="6" max="7" width="24.44140625" customWidth="1"/>
    <col min="8" max="8" width="8.88671875" customWidth="1"/>
  </cols>
  <sheetData>
    <row r="1" spans="1:7" ht="19.95" customHeight="1" x14ac:dyDescent="0.3">
      <c r="A1" s="1" t="s">
        <v>103</v>
      </c>
      <c r="B1" s="1" t="s">
        <v>104</v>
      </c>
      <c r="C1" s="1" t="s">
        <v>47</v>
      </c>
      <c r="D1" s="1" t="s">
        <v>105</v>
      </c>
      <c r="E1" s="1" t="s">
        <v>106</v>
      </c>
      <c r="F1" s="1" t="s">
        <v>107</v>
      </c>
      <c r="G1" s="1" t="s">
        <v>108</v>
      </c>
    </row>
    <row r="2" spans="1:7" x14ac:dyDescent="0.3">
      <c r="A2">
        <v>1010</v>
      </c>
      <c r="B2">
        <v>20</v>
      </c>
      <c r="C2" s="4">
        <v>2.2000000000000002</v>
      </c>
      <c r="D2" s="5" t="str">
        <f>VLOOKUP(A2, Artikel!$A$2:$D$51,2)</f>
        <v>Briefumschläge C5</v>
      </c>
      <c r="E2" s="5" t="str">
        <f>_xlfn.XLOOKUP(A2,Artikel!$A$2:$A$500,Artikel!$B$2:$B$500,"nicht gefunden")</f>
        <v>Briefumschläge C5</v>
      </c>
      <c r="F2" s="6">
        <f>_xlfn.XLOOKUP(A2,Artikel!$A$2:$A$500,Artikel!$D$2:$D$500,"nicht gefunden")</f>
        <v>2.2000000000000002</v>
      </c>
      <c r="G2" s="6"/>
    </row>
    <row r="3" spans="1:7" x14ac:dyDescent="0.3">
      <c r="A3">
        <v>1041</v>
      </c>
      <c r="B3">
        <v>33</v>
      </c>
      <c r="C3" s="4">
        <v>65.180000000000007</v>
      </c>
      <c r="D3" s="5" t="str">
        <f>VLOOKUP(A3, Artikel!$A$2:$D$51,2)</f>
        <v>Multifunktionszange</v>
      </c>
      <c r="E3" s="5" t="str">
        <f>_xlfn.XLOOKUP(A3,Artikel!$A$2:$A$500,Artikel!$B$2:$B$500,"nicht gefunden")</f>
        <v>Multifunktionszange</v>
      </c>
      <c r="F3" s="6">
        <f>_xlfn.XLOOKUP(A3,Artikel!$A$2:$A$500,Artikel!$D$2:$D$500,"nicht gefunden")</f>
        <v>65.180000000000007</v>
      </c>
      <c r="G3" s="6"/>
    </row>
    <row r="4" spans="1:7" x14ac:dyDescent="0.3">
      <c r="A4">
        <v>1011</v>
      </c>
      <c r="B4">
        <v>10</v>
      </c>
      <c r="C4" s="4">
        <v>6.64</v>
      </c>
      <c r="D4" s="5" t="str">
        <f>VLOOKUP(A4, Artikel!$A$2:$D$51,2)</f>
        <v>Ordnerregister A-Z</v>
      </c>
      <c r="E4" s="5" t="str">
        <f>_xlfn.XLOOKUP(A4,Artikel!$A$2:$A$500,Artikel!$B$2:$B$500,"nicht gefunden")</f>
        <v>Ordnerregister A-Z</v>
      </c>
      <c r="F4" s="6">
        <f>_xlfn.XLOOKUP(A4,Artikel!$A$2:$A$500,Artikel!$D$2:$D$500,"nicht gefunden")</f>
        <v>6.64</v>
      </c>
      <c r="G4" s="6"/>
    </row>
    <row r="5" spans="1:7" x14ac:dyDescent="0.3">
      <c r="A5">
        <v>1044</v>
      </c>
      <c r="B5">
        <v>11</v>
      </c>
      <c r="C5" s="4">
        <v>6.63</v>
      </c>
      <c r="D5" s="5" t="str">
        <f>VLOOKUP(A5, Artikel!$A$2:$D$51,2)</f>
        <v>Reinigungstücher</v>
      </c>
      <c r="E5" s="5" t="str">
        <f>_xlfn.XLOOKUP(A5,Artikel!$A$2:$A$500,Artikel!$B$2:$B$500,"nicht gefunden")</f>
        <v>Reinigungstücher</v>
      </c>
      <c r="F5" s="6">
        <f>_xlfn.XLOOKUP(A5,Artikel!$A$2:$A$500,Artikel!$D$2:$D$500,"nicht gefunden")</f>
        <v>6.63</v>
      </c>
      <c r="G5" s="6"/>
    </row>
    <row r="6" spans="1:7" x14ac:dyDescent="0.3">
      <c r="A6">
        <v>1028</v>
      </c>
      <c r="B6">
        <v>50</v>
      </c>
      <c r="C6" s="4">
        <v>38.18</v>
      </c>
      <c r="D6" s="5" t="str">
        <f>VLOOKUP(A6, Artikel!$A$2:$D$51,2)</f>
        <v>USB-Hub 4-Port</v>
      </c>
      <c r="E6" s="5" t="str">
        <f>_xlfn.XLOOKUP(A6,Artikel!$A$2:$A$500,Artikel!$B$2:$B$500,"nicht gefunden")</f>
        <v>USB-Hub 4-Port</v>
      </c>
      <c r="F6" s="6">
        <f>_xlfn.XLOOKUP(A6,Artikel!$A$2:$A$500,Artikel!$D$2:$D$500,"nicht gefunden")</f>
        <v>38.18</v>
      </c>
      <c r="G6" s="6"/>
    </row>
    <row r="7" spans="1:7" x14ac:dyDescent="0.3">
      <c r="A7">
        <v>1039</v>
      </c>
      <c r="B7">
        <v>1</v>
      </c>
      <c r="C7" s="4">
        <v>78.38</v>
      </c>
      <c r="D7" s="5" t="str">
        <f>VLOOKUP(A7, Artikel!$A$2:$D$51,2)</f>
        <v>Schraubendreher-Set</v>
      </c>
      <c r="E7" s="5" t="str">
        <f>_xlfn.XLOOKUP(A7,Artikel!$A$2:$A$500,Artikel!$B$2:$B$500,"nicht gefunden")</f>
        <v>Schraubendreher-Set</v>
      </c>
      <c r="F7" s="6">
        <f>_xlfn.XLOOKUP(A7,Artikel!$A$2:$A$500,Artikel!$D$2:$D$500,"nicht gefunden")</f>
        <v>78.38</v>
      </c>
      <c r="G7" s="6"/>
    </row>
    <row r="8" spans="1:7" x14ac:dyDescent="0.3">
      <c r="A8">
        <v>1005</v>
      </c>
      <c r="B8">
        <v>32</v>
      </c>
      <c r="C8" s="4">
        <v>18.809999999999999</v>
      </c>
      <c r="D8" s="5" t="str">
        <f>VLOOKUP(A8, Artikel!$A$2:$D$51,2)</f>
        <v>Aktenordner breit</v>
      </c>
      <c r="E8" s="5" t="str">
        <f>_xlfn.XLOOKUP(A8,Artikel!$A$2:$A$500,Artikel!$B$2:$B$500,"nicht gefunden")</f>
        <v>Aktenordner breit</v>
      </c>
      <c r="F8" s="6">
        <f>_xlfn.XLOOKUP(A8,Artikel!$A$2:$A$500,Artikel!$D$2:$D$500,"nicht gefunden")</f>
        <v>18.809999999999999</v>
      </c>
      <c r="G8" s="6"/>
    </row>
    <row r="9" spans="1:7" x14ac:dyDescent="0.3">
      <c r="A9">
        <v>1025</v>
      </c>
      <c r="B9">
        <v>24</v>
      </c>
      <c r="C9" s="4">
        <v>306.64999999999998</v>
      </c>
      <c r="D9" s="5" t="str">
        <f>VLOOKUP(A9, Artikel!$A$2:$D$51,2)</f>
        <v>Dockingstation</v>
      </c>
      <c r="E9" s="5" t="str">
        <f>_xlfn.XLOOKUP(A9,Artikel!$A$2:$A$500,Artikel!$B$2:$B$500,"nicht gefunden")</f>
        <v>Dockingstation</v>
      </c>
      <c r="F9" s="6">
        <f>_xlfn.XLOOKUP(A9,Artikel!$A$2:$A$500,Artikel!$D$2:$D$500,"nicht gefunden")</f>
        <v>306.64999999999998</v>
      </c>
      <c r="G9" s="6"/>
    </row>
    <row r="10" spans="1:7" x14ac:dyDescent="0.3">
      <c r="A10">
        <v>1025</v>
      </c>
      <c r="B10">
        <v>20</v>
      </c>
      <c r="C10" s="4">
        <v>306.64999999999998</v>
      </c>
      <c r="D10" s="5" t="str">
        <f>VLOOKUP(A10, Artikel!$A$2:$D$51,2)</f>
        <v>Dockingstation</v>
      </c>
      <c r="E10" s="5" t="str">
        <f>_xlfn.XLOOKUP(A10,Artikel!$A$2:$A$500,Artikel!$B$2:$B$500,"nicht gefunden")</f>
        <v>Dockingstation</v>
      </c>
      <c r="F10" s="6">
        <f>_xlfn.XLOOKUP(A10,Artikel!$A$2:$A$500,Artikel!$D$2:$D$500,"nicht gefunden")</f>
        <v>306.64999999999998</v>
      </c>
      <c r="G10" s="6"/>
    </row>
    <row r="11" spans="1:7" x14ac:dyDescent="0.3">
      <c r="A11">
        <v>1039</v>
      </c>
      <c r="B11">
        <v>16</v>
      </c>
      <c r="C11" s="4">
        <v>78.38</v>
      </c>
      <c r="D11" s="5" t="str">
        <f>VLOOKUP(A11, Artikel!$A$2:$D$51,2)</f>
        <v>Schraubendreher-Set</v>
      </c>
      <c r="E11" s="5" t="str">
        <f>_xlfn.XLOOKUP(A11,Artikel!$A$2:$A$500,Artikel!$B$2:$B$500,"nicht gefunden")</f>
        <v>Schraubendreher-Set</v>
      </c>
      <c r="F11" s="6">
        <f>_xlfn.XLOOKUP(A11,Artikel!$A$2:$A$500,Artikel!$D$2:$D$500,"nicht gefunden")</f>
        <v>78.38</v>
      </c>
      <c r="G11" s="6"/>
    </row>
    <row r="12" spans="1:7" x14ac:dyDescent="0.3">
      <c r="A12">
        <v>1030</v>
      </c>
      <c r="B12">
        <v>6</v>
      </c>
      <c r="C12" s="4">
        <v>28.36</v>
      </c>
      <c r="D12" s="5" t="str">
        <f>VLOOKUP(A12, Artikel!$A$2:$D$51,2)</f>
        <v>Versandkarton M</v>
      </c>
      <c r="E12" s="5" t="str">
        <f>_xlfn.XLOOKUP(A12,Artikel!$A$2:$A$500,Artikel!$B$2:$B$500,"nicht gefunden")</f>
        <v>Versandkarton M</v>
      </c>
      <c r="F12" s="6">
        <f>_xlfn.XLOOKUP(A12,Artikel!$A$2:$A$500,Artikel!$D$2:$D$500,"nicht gefunden")</f>
        <v>28.36</v>
      </c>
      <c r="G12" s="6"/>
    </row>
    <row r="13" spans="1:7" x14ac:dyDescent="0.3">
      <c r="A13">
        <v>1034</v>
      </c>
      <c r="B13">
        <v>32</v>
      </c>
      <c r="C13" s="4">
        <v>43.87</v>
      </c>
      <c r="D13" s="5" t="str">
        <f>VLOOKUP(A13, Artikel!$A$2:$D$51,2)</f>
        <v>Luftpolsterfolie</v>
      </c>
      <c r="E13" s="5" t="str">
        <f>_xlfn.XLOOKUP(A13,Artikel!$A$2:$A$500,Artikel!$B$2:$B$500,"nicht gefunden")</f>
        <v>Luftpolsterfolie</v>
      </c>
      <c r="F13" s="6">
        <f>_xlfn.XLOOKUP(A13,Artikel!$A$2:$A$500,Artikel!$D$2:$D$500,"nicht gefunden")</f>
        <v>43.87</v>
      </c>
      <c r="G13" s="6"/>
    </row>
    <row r="14" spans="1:7" x14ac:dyDescent="0.3">
      <c r="A14">
        <v>1017</v>
      </c>
      <c r="B14">
        <v>49</v>
      </c>
      <c r="C14" s="4">
        <v>76.78</v>
      </c>
      <c r="D14" s="5" t="str">
        <f>VLOOKUP(A14, Artikel!$A$2:$D$51,2)</f>
        <v>Funkmaus</v>
      </c>
      <c r="E14" s="5" t="str">
        <f>_xlfn.XLOOKUP(A14,Artikel!$A$2:$A$500,Artikel!$B$2:$B$500,"nicht gefunden")</f>
        <v>Funkmaus</v>
      </c>
      <c r="F14" s="6">
        <f>_xlfn.XLOOKUP(A14,Artikel!$A$2:$A$500,Artikel!$D$2:$D$500,"nicht gefunden")</f>
        <v>76.78</v>
      </c>
      <c r="G14" s="6"/>
    </row>
    <row r="15" spans="1:7" x14ac:dyDescent="0.3">
      <c r="A15">
        <v>1036</v>
      </c>
      <c r="B15">
        <v>9</v>
      </c>
      <c r="C15" s="4">
        <v>26.19</v>
      </c>
      <c r="D15" s="5" t="str">
        <f>VLOOKUP(A15, Artikel!$A$2:$D$51,2)</f>
        <v>Stretchfolie</v>
      </c>
      <c r="E15" s="5" t="str">
        <f>_xlfn.XLOOKUP(A15,Artikel!$A$2:$A$500,Artikel!$B$2:$B$500,"nicht gefunden")</f>
        <v>Stretchfolie</v>
      </c>
      <c r="F15" s="6">
        <f>_xlfn.XLOOKUP(A15,Artikel!$A$2:$A$500,Artikel!$D$2:$D$500,"nicht gefunden")</f>
        <v>26.19</v>
      </c>
      <c r="G15" s="6"/>
    </row>
    <row r="16" spans="1:7" x14ac:dyDescent="0.3">
      <c r="A16">
        <v>1001</v>
      </c>
      <c r="B16">
        <v>31</v>
      </c>
      <c r="C16" s="4">
        <v>16.53</v>
      </c>
      <c r="D16" s="5" t="str">
        <f>VLOOKUP(A16, Artikel!$A$2:$D$51,2)</f>
        <v>Kopierpapier A4</v>
      </c>
      <c r="E16" s="5" t="str">
        <f>_xlfn.XLOOKUP(A16,Artikel!$A$2:$A$500,Artikel!$B$2:$B$500,"nicht gefunden")</f>
        <v>Kopierpapier A4</v>
      </c>
      <c r="F16" s="6">
        <f>_xlfn.XLOOKUP(A16,Artikel!$A$2:$A$500,Artikel!$D$2:$D$500,"nicht gefunden")</f>
        <v>16.53</v>
      </c>
      <c r="G16" s="6"/>
    </row>
    <row r="17" spans="1:7" x14ac:dyDescent="0.3">
      <c r="A17">
        <v>1044</v>
      </c>
      <c r="B17">
        <v>11</v>
      </c>
      <c r="C17" s="4">
        <v>6.63</v>
      </c>
      <c r="D17" s="5" t="str">
        <f>VLOOKUP(A17, Artikel!$A$2:$D$51,2)</f>
        <v>Reinigungstücher</v>
      </c>
      <c r="E17" s="5" t="str">
        <f>_xlfn.XLOOKUP(A17,Artikel!$A$2:$A$500,Artikel!$B$2:$B$500,"nicht gefunden")</f>
        <v>Reinigungstücher</v>
      </c>
      <c r="F17" s="6">
        <f>_xlfn.XLOOKUP(A17,Artikel!$A$2:$A$500,Artikel!$D$2:$D$500,"nicht gefunden")</f>
        <v>6.63</v>
      </c>
      <c r="G17" s="6"/>
    </row>
    <row r="18" spans="1:7" x14ac:dyDescent="0.3">
      <c r="A18">
        <v>1047</v>
      </c>
      <c r="B18">
        <v>39</v>
      </c>
      <c r="C18" s="4">
        <v>3.62</v>
      </c>
      <c r="D18" s="5" t="str">
        <f>VLOOKUP(A18, Artikel!$A$2:$D$51,2)</f>
        <v>Müllbeutel 60L</v>
      </c>
      <c r="E18" s="5" t="str">
        <f>_xlfn.XLOOKUP(A18,Artikel!$A$2:$A$500,Artikel!$B$2:$B$500,"nicht gefunden")</f>
        <v>Müllbeutel 60L</v>
      </c>
      <c r="F18" s="6">
        <f>_xlfn.XLOOKUP(A18,Artikel!$A$2:$A$500,Artikel!$D$2:$D$500,"nicht gefunden")</f>
        <v>3.62</v>
      </c>
      <c r="G18" s="6"/>
    </row>
    <row r="19" spans="1:7" x14ac:dyDescent="0.3">
      <c r="A19">
        <v>1008</v>
      </c>
      <c r="B19">
        <v>14</v>
      </c>
      <c r="C19" s="4">
        <v>3.54</v>
      </c>
      <c r="D19" s="5" t="str">
        <f>VLOOKUP(A19, Artikel!$A$2:$D$51,2)</f>
        <v>Heftklammern 24/6</v>
      </c>
      <c r="E19" s="5" t="str">
        <f>_xlfn.XLOOKUP(A19,Artikel!$A$2:$A$500,Artikel!$B$2:$B$500,"nicht gefunden")</f>
        <v>Heftklammern 24/6</v>
      </c>
      <c r="F19" s="6">
        <f>_xlfn.XLOOKUP(A19,Artikel!$A$2:$A$500,Artikel!$D$2:$D$500,"nicht gefunden")</f>
        <v>3.54</v>
      </c>
      <c r="G19" s="6"/>
    </row>
    <row r="20" spans="1:7" x14ac:dyDescent="0.3">
      <c r="A20">
        <v>1044</v>
      </c>
      <c r="B20">
        <v>49</v>
      </c>
      <c r="C20" s="4">
        <v>6.63</v>
      </c>
      <c r="D20" s="5" t="str">
        <f>VLOOKUP(A20, Artikel!$A$2:$D$51,2)</f>
        <v>Reinigungstücher</v>
      </c>
      <c r="E20" s="5" t="str">
        <f>_xlfn.XLOOKUP(A20,Artikel!$A$2:$A$500,Artikel!$B$2:$B$500,"nicht gefunden")</f>
        <v>Reinigungstücher</v>
      </c>
      <c r="F20" s="6">
        <f>_xlfn.XLOOKUP(A20,Artikel!$A$2:$A$500,Artikel!$D$2:$D$500,"nicht gefunden")</f>
        <v>6.63</v>
      </c>
      <c r="G20" s="6"/>
    </row>
    <row r="21" spans="1:7" x14ac:dyDescent="0.3">
      <c r="A21">
        <v>1035</v>
      </c>
      <c r="B21">
        <v>13</v>
      </c>
      <c r="C21" s="4">
        <v>18.899999999999999</v>
      </c>
      <c r="D21" s="5" t="str">
        <f>VLOOKUP(A21, Artikel!$A$2:$D$51,2)</f>
        <v>Etiketten 70x37</v>
      </c>
      <c r="E21" s="5" t="str">
        <f>_xlfn.XLOOKUP(A21,Artikel!$A$2:$A$500,Artikel!$B$2:$B$500,"nicht gefunden")</f>
        <v>Etiketten 70x37</v>
      </c>
      <c r="F21" s="6">
        <f>_xlfn.XLOOKUP(A21,Artikel!$A$2:$A$500,Artikel!$D$2:$D$500,"nicht gefunden")</f>
        <v>18.899999999999999</v>
      </c>
      <c r="G21" s="6"/>
    </row>
    <row r="22" spans="1:7" x14ac:dyDescent="0.3">
      <c r="A22">
        <v>1049</v>
      </c>
      <c r="B22">
        <v>26</v>
      </c>
      <c r="C22" s="4">
        <v>12.17</v>
      </c>
      <c r="D22" s="5" t="str">
        <f>VLOOKUP(A22, Artikel!$A$2:$D$51,2)</f>
        <v>Handseife 500ml</v>
      </c>
      <c r="E22" s="5" t="str">
        <f>_xlfn.XLOOKUP(A22,Artikel!$A$2:$A$500,Artikel!$B$2:$B$500,"nicht gefunden")</f>
        <v>Handseife 500ml</v>
      </c>
      <c r="F22" s="6">
        <f>_xlfn.XLOOKUP(A22,Artikel!$A$2:$A$500,Artikel!$D$2:$D$500,"nicht gefunden")</f>
        <v>12.17</v>
      </c>
      <c r="G22" s="6"/>
    </row>
    <row r="23" spans="1:7" x14ac:dyDescent="0.3">
      <c r="A23">
        <v>1018</v>
      </c>
      <c r="B23">
        <v>42</v>
      </c>
      <c r="C23" s="4">
        <v>191.85</v>
      </c>
      <c r="D23" s="5" t="str">
        <f>VLOOKUP(A23, Artikel!$A$2:$D$51,2)</f>
        <v>Tastatur USB</v>
      </c>
      <c r="E23" s="5" t="str">
        <f>_xlfn.XLOOKUP(A23,Artikel!$A$2:$A$500,Artikel!$B$2:$B$500,"nicht gefunden")</f>
        <v>Tastatur USB</v>
      </c>
      <c r="F23" s="6">
        <f>_xlfn.XLOOKUP(A23,Artikel!$A$2:$A$500,Artikel!$D$2:$D$500,"nicht gefunden")</f>
        <v>191.85</v>
      </c>
      <c r="G23" s="6"/>
    </row>
    <row r="24" spans="1:7" x14ac:dyDescent="0.3">
      <c r="A24">
        <v>1050</v>
      </c>
      <c r="B24">
        <v>34</v>
      </c>
      <c r="C24" s="4">
        <v>7.84</v>
      </c>
      <c r="D24" s="5" t="str">
        <f>VLOOKUP(A24, Artikel!$A$2:$D$51,2)</f>
        <v>Papiertücher</v>
      </c>
      <c r="E24" s="5" t="str">
        <f>_xlfn.XLOOKUP(A24,Artikel!$A$2:$A$500,Artikel!$B$2:$B$500,"nicht gefunden")</f>
        <v>Papiertücher</v>
      </c>
      <c r="F24" s="6">
        <f>_xlfn.XLOOKUP(A24,Artikel!$A$2:$A$500,Artikel!$D$2:$D$500,"nicht gefunden")</f>
        <v>7.84</v>
      </c>
      <c r="G24" s="6"/>
    </row>
    <row r="25" spans="1:7" x14ac:dyDescent="0.3">
      <c r="A25">
        <v>1042</v>
      </c>
      <c r="B25">
        <v>16</v>
      </c>
      <c r="C25" s="4">
        <v>9.85</v>
      </c>
      <c r="D25" s="5" t="str">
        <f>VLOOKUP(A25, Artikel!$A$2:$D$51,2)</f>
        <v>Akkuschrauber</v>
      </c>
      <c r="E25" s="5" t="str">
        <f>_xlfn.XLOOKUP(A25,Artikel!$A$2:$A$500,Artikel!$B$2:$B$500,"nicht gefunden")</f>
        <v>Akkuschrauber</v>
      </c>
      <c r="F25" s="6">
        <f>_xlfn.XLOOKUP(A25,Artikel!$A$2:$A$500,Artikel!$D$2:$D$500,"nicht gefunden")</f>
        <v>9.85</v>
      </c>
      <c r="G25" s="6"/>
    </row>
    <row r="26" spans="1:7" x14ac:dyDescent="0.3">
      <c r="A26">
        <v>1022</v>
      </c>
      <c r="B26">
        <v>22</v>
      </c>
      <c r="C26" s="4">
        <v>225.82</v>
      </c>
      <c r="D26" s="5" t="str">
        <f>VLOOKUP(A26, Artikel!$A$2:$D$51,2)</f>
        <v>Netzwerkkabel 5m</v>
      </c>
      <c r="E26" s="5" t="str">
        <f>_xlfn.XLOOKUP(A26,Artikel!$A$2:$A$500,Artikel!$B$2:$B$500,"nicht gefunden")</f>
        <v>Netzwerkkabel 5m</v>
      </c>
      <c r="F26" s="6">
        <f>_xlfn.XLOOKUP(A26,Artikel!$A$2:$A$500,Artikel!$D$2:$D$500,"nicht gefunden")</f>
        <v>225.82</v>
      </c>
      <c r="G26" s="6"/>
    </row>
    <row r="27" spans="1:7" x14ac:dyDescent="0.3">
      <c r="A27">
        <v>1008</v>
      </c>
      <c r="B27">
        <v>36</v>
      </c>
      <c r="C27" s="4">
        <v>3.54</v>
      </c>
      <c r="D27" s="5" t="str">
        <f>VLOOKUP(A27, Artikel!$A$2:$D$51,2)</f>
        <v>Heftklammern 24/6</v>
      </c>
      <c r="E27" s="5" t="str">
        <f>_xlfn.XLOOKUP(A27,Artikel!$A$2:$A$500,Artikel!$B$2:$B$500,"nicht gefunden")</f>
        <v>Heftklammern 24/6</v>
      </c>
      <c r="F27" s="6">
        <f>_xlfn.XLOOKUP(A27,Artikel!$A$2:$A$500,Artikel!$D$2:$D$500,"nicht gefunden")</f>
        <v>3.54</v>
      </c>
      <c r="G27" s="6"/>
    </row>
    <row r="28" spans="1:7" x14ac:dyDescent="0.3">
      <c r="A28">
        <v>1019</v>
      </c>
      <c r="B28">
        <v>15</v>
      </c>
      <c r="C28" s="4">
        <v>260.54000000000002</v>
      </c>
      <c r="D28" s="5" t="str">
        <f>VLOOKUP(A28, Artikel!$A$2:$D$51,2)</f>
        <v>Webcam HD</v>
      </c>
      <c r="E28" s="5" t="str">
        <f>_xlfn.XLOOKUP(A28,Artikel!$A$2:$A$500,Artikel!$B$2:$B$500,"nicht gefunden")</f>
        <v>Webcam HD</v>
      </c>
      <c r="F28" s="6">
        <f>_xlfn.XLOOKUP(A28,Artikel!$A$2:$A$500,Artikel!$D$2:$D$500,"nicht gefunden")</f>
        <v>260.54000000000002</v>
      </c>
      <c r="G28" s="6"/>
    </row>
    <row r="29" spans="1:7" x14ac:dyDescent="0.3">
      <c r="A29">
        <v>1028</v>
      </c>
      <c r="B29">
        <v>46</v>
      </c>
      <c r="C29" s="4">
        <v>38.18</v>
      </c>
      <c r="D29" s="5" t="str">
        <f>VLOOKUP(A29, Artikel!$A$2:$D$51,2)</f>
        <v>USB-Hub 4-Port</v>
      </c>
      <c r="E29" s="5" t="str">
        <f>_xlfn.XLOOKUP(A29,Artikel!$A$2:$A$500,Artikel!$B$2:$B$500,"nicht gefunden")</f>
        <v>USB-Hub 4-Port</v>
      </c>
      <c r="F29" s="6">
        <f>_xlfn.XLOOKUP(A29,Artikel!$A$2:$A$500,Artikel!$D$2:$D$500,"nicht gefunden")</f>
        <v>38.18</v>
      </c>
      <c r="G29" s="6"/>
    </row>
    <row r="30" spans="1:7" x14ac:dyDescent="0.3">
      <c r="A30">
        <v>1011</v>
      </c>
      <c r="B30">
        <v>15</v>
      </c>
      <c r="C30" s="4">
        <v>6.64</v>
      </c>
      <c r="D30" s="5" t="str">
        <f>VLOOKUP(A30, Artikel!$A$2:$D$51,2)</f>
        <v>Ordnerregister A-Z</v>
      </c>
      <c r="E30" s="5" t="str">
        <f>_xlfn.XLOOKUP(A30,Artikel!$A$2:$A$500,Artikel!$B$2:$B$500,"nicht gefunden")</f>
        <v>Ordnerregister A-Z</v>
      </c>
      <c r="F30" s="6">
        <f>_xlfn.XLOOKUP(A30,Artikel!$A$2:$A$500,Artikel!$D$2:$D$500,"nicht gefunden")</f>
        <v>6.64</v>
      </c>
      <c r="G30" s="6"/>
    </row>
    <row r="31" spans="1:7" x14ac:dyDescent="0.3">
      <c r="A31">
        <v>1030</v>
      </c>
      <c r="B31">
        <v>3</v>
      </c>
      <c r="C31" s="4">
        <v>28.36</v>
      </c>
      <c r="D31" s="5" t="str">
        <f>VLOOKUP(A31, Artikel!$A$2:$D$51,2)</f>
        <v>Versandkarton M</v>
      </c>
      <c r="E31" s="5" t="str">
        <f>_xlfn.XLOOKUP(A31,Artikel!$A$2:$A$500,Artikel!$B$2:$B$500,"nicht gefunden")</f>
        <v>Versandkarton M</v>
      </c>
      <c r="F31" s="6">
        <f>_xlfn.XLOOKUP(A31,Artikel!$A$2:$A$500,Artikel!$D$2:$D$500,"nicht gefunden")</f>
        <v>28.36</v>
      </c>
      <c r="G31" s="6"/>
    </row>
    <row r="32" spans="1:7" x14ac:dyDescent="0.3">
      <c r="A32">
        <v>1001</v>
      </c>
      <c r="B32">
        <v>5</v>
      </c>
      <c r="C32" s="4">
        <v>16.53</v>
      </c>
      <c r="D32" s="5" t="str">
        <f>VLOOKUP(A32, Artikel!$A$2:$D$51,2)</f>
        <v>Kopierpapier A4</v>
      </c>
      <c r="E32" s="5" t="str">
        <f>_xlfn.XLOOKUP(A32,Artikel!$A$2:$A$500,Artikel!$B$2:$B$500,"nicht gefunden")</f>
        <v>Kopierpapier A4</v>
      </c>
      <c r="F32" s="6">
        <f>_xlfn.XLOOKUP(A32,Artikel!$A$2:$A$500,Artikel!$D$2:$D$500,"nicht gefunden")</f>
        <v>16.53</v>
      </c>
      <c r="G32" s="6"/>
    </row>
    <row r="33" spans="1:7" x14ac:dyDescent="0.3">
      <c r="A33">
        <v>1047</v>
      </c>
      <c r="B33">
        <v>18</v>
      </c>
      <c r="C33" s="4">
        <v>3.62</v>
      </c>
      <c r="D33" s="5" t="str">
        <f>VLOOKUP(A33, Artikel!$A$2:$D$51,2)</f>
        <v>Müllbeutel 60L</v>
      </c>
      <c r="E33" s="5" t="str">
        <f>_xlfn.XLOOKUP(A33,Artikel!$A$2:$A$500,Artikel!$B$2:$B$500,"nicht gefunden")</f>
        <v>Müllbeutel 60L</v>
      </c>
      <c r="F33" s="6">
        <f>_xlfn.XLOOKUP(A33,Artikel!$A$2:$A$500,Artikel!$D$2:$D$500,"nicht gefunden")</f>
        <v>3.62</v>
      </c>
      <c r="G33" s="6"/>
    </row>
    <row r="34" spans="1:7" x14ac:dyDescent="0.3">
      <c r="A34">
        <v>1047</v>
      </c>
      <c r="B34">
        <v>14</v>
      </c>
      <c r="C34" s="4">
        <v>3.62</v>
      </c>
      <c r="D34" s="5" t="str">
        <f>VLOOKUP(A34, Artikel!$A$2:$D$51,2)</f>
        <v>Müllbeutel 60L</v>
      </c>
      <c r="E34" s="5" t="str">
        <f>_xlfn.XLOOKUP(A34,Artikel!$A$2:$A$500,Artikel!$B$2:$B$500,"nicht gefunden")</f>
        <v>Müllbeutel 60L</v>
      </c>
      <c r="F34" s="6">
        <f>_xlfn.XLOOKUP(A34,Artikel!$A$2:$A$500,Artikel!$D$2:$D$500,"nicht gefunden")</f>
        <v>3.62</v>
      </c>
      <c r="G34" s="6"/>
    </row>
    <row r="35" spans="1:7" x14ac:dyDescent="0.3">
      <c r="A35">
        <v>1017</v>
      </c>
      <c r="B35">
        <v>47</v>
      </c>
      <c r="C35" s="4">
        <v>76.78</v>
      </c>
      <c r="D35" s="5" t="str">
        <f>VLOOKUP(A35, Artikel!$A$2:$D$51,2)</f>
        <v>Funkmaus</v>
      </c>
      <c r="E35" s="5" t="str">
        <f>_xlfn.XLOOKUP(A35,Artikel!$A$2:$A$500,Artikel!$B$2:$B$500,"nicht gefunden")</f>
        <v>Funkmaus</v>
      </c>
      <c r="F35" s="6">
        <f>_xlfn.XLOOKUP(A35,Artikel!$A$2:$A$500,Artikel!$D$2:$D$500,"nicht gefunden")</f>
        <v>76.78</v>
      </c>
      <c r="G35" s="6"/>
    </row>
    <row r="36" spans="1:7" x14ac:dyDescent="0.3">
      <c r="A36">
        <v>1033</v>
      </c>
      <c r="B36">
        <v>37</v>
      </c>
      <c r="C36" s="4">
        <v>25.52</v>
      </c>
      <c r="D36" s="5" t="str">
        <f>VLOOKUP(A36, Artikel!$A$2:$D$51,2)</f>
        <v>Packband transparent</v>
      </c>
      <c r="E36" s="5" t="str">
        <f>_xlfn.XLOOKUP(A36,Artikel!$A$2:$A$500,Artikel!$B$2:$B$500,"nicht gefunden")</f>
        <v>Packband transparent</v>
      </c>
      <c r="F36" s="6">
        <f>_xlfn.XLOOKUP(A36,Artikel!$A$2:$A$500,Artikel!$D$2:$D$500,"nicht gefunden")</f>
        <v>25.52</v>
      </c>
      <c r="G36" s="6"/>
    </row>
    <row r="37" spans="1:7" x14ac:dyDescent="0.3">
      <c r="A37">
        <v>1049</v>
      </c>
      <c r="B37">
        <v>16</v>
      </c>
      <c r="C37" s="4">
        <v>12.17</v>
      </c>
      <c r="D37" s="5" t="str">
        <f>VLOOKUP(A37, Artikel!$A$2:$D$51,2)</f>
        <v>Handseife 500ml</v>
      </c>
      <c r="E37" s="5" t="str">
        <f>_xlfn.XLOOKUP(A37,Artikel!$A$2:$A$500,Artikel!$B$2:$B$500,"nicht gefunden")</f>
        <v>Handseife 500ml</v>
      </c>
      <c r="F37" s="6">
        <f>_xlfn.XLOOKUP(A37,Artikel!$A$2:$A$500,Artikel!$D$2:$D$500,"nicht gefunden")</f>
        <v>12.17</v>
      </c>
      <c r="G37" s="6"/>
    </row>
    <row r="38" spans="1:7" x14ac:dyDescent="0.3">
      <c r="A38">
        <v>1012</v>
      </c>
      <c r="B38">
        <v>27</v>
      </c>
      <c r="C38" s="4">
        <v>13.38</v>
      </c>
      <c r="D38" s="5" t="str">
        <f>VLOOKUP(A38, Artikel!$A$2:$D$51,2)</f>
        <v>Radiergummi</v>
      </c>
      <c r="E38" s="5" t="str">
        <f>_xlfn.XLOOKUP(A38,Artikel!$A$2:$A$500,Artikel!$B$2:$B$500,"nicht gefunden")</f>
        <v>Radiergummi</v>
      </c>
      <c r="F38" s="6">
        <f>_xlfn.XLOOKUP(A38,Artikel!$A$2:$A$500,Artikel!$D$2:$D$500,"nicht gefunden")</f>
        <v>13.38</v>
      </c>
      <c r="G38" s="6"/>
    </row>
    <row r="39" spans="1:7" x14ac:dyDescent="0.3">
      <c r="A39">
        <v>9999</v>
      </c>
      <c r="B39">
        <v>7</v>
      </c>
      <c r="C39" s="4">
        <v>54.42</v>
      </c>
      <c r="D39" s="5" t="str">
        <f>VLOOKUP(A39, Artikel!$A$2:$D$51,2)</f>
        <v>Papiertücher</v>
      </c>
      <c r="E39" s="5" t="str">
        <f>_xlfn.XLOOKUP(A39,Artikel!$A$2:$A$500,Artikel!$B$2:$B$500,"nicht gefunden")</f>
        <v>nicht gefunden</v>
      </c>
      <c r="F39" s="6" t="str">
        <f>_xlfn.XLOOKUP(A39,Artikel!$A$2:$A$500,Artikel!$D$2:$D$500,"nicht gefunden")</f>
        <v>nicht gefunden</v>
      </c>
      <c r="G39" s="6"/>
    </row>
    <row r="40" spans="1:7" x14ac:dyDescent="0.3">
      <c r="A40">
        <v>1007</v>
      </c>
      <c r="B40">
        <v>23</v>
      </c>
      <c r="C40" s="4">
        <v>22.47</v>
      </c>
      <c r="D40" s="5" t="str">
        <f>VLOOKUP(A40, Artikel!$A$2:$D$51,2)</f>
        <v>Tacker mittel</v>
      </c>
      <c r="E40" s="5" t="str">
        <f>_xlfn.XLOOKUP(A40,Artikel!$A$2:$A$500,Artikel!$B$2:$B$500,"nicht gefunden")</f>
        <v>Tacker mittel</v>
      </c>
      <c r="F40" s="6">
        <f>_xlfn.XLOOKUP(A40,Artikel!$A$2:$A$500,Artikel!$D$2:$D$500,"nicht gefunden")</f>
        <v>22.47</v>
      </c>
      <c r="G40" s="6"/>
    </row>
    <row r="41" spans="1:7" x14ac:dyDescent="0.3">
      <c r="A41">
        <v>1041</v>
      </c>
      <c r="B41">
        <v>30</v>
      </c>
      <c r="C41" s="4">
        <v>65.180000000000007</v>
      </c>
      <c r="D41" s="5" t="str">
        <f>VLOOKUP(A41, Artikel!$A$2:$D$51,2)</f>
        <v>Multifunktionszange</v>
      </c>
      <c r="E41" s="5" t="str">
        <f>_xlfn.XLOOKUP(A41,Artikel!$A$2:$A$500,Artikel!$B$2:$B$500,"nicht gefunden")</f>
        <v>Multifunktionszange</v>
      </c>
      <c r="F41" s="6">
        <f>_xlfn.XLOOKUP(A41,Artikel!$A$2:$A$500,Artikel!$D$2:$D$500,"nicht gefunden")</f>
        <v>65.180000000000007</v>
      </c>
      <c r="G41" s="6"/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F2001"/>
  <sheetViews>
    <sheetView tabSelected="1" workbookViewId="0">
      <pane ySplit="1" topLeftCell="A2" activePane="bottomLeft" state="frozen"/>
      <selection pane="bottomLeft" activeCell="E26" sqref="E26"/>
    </sheetView>
  </sheetViews>
  <sheetFormatPr defaultRowHeight="14.4" x14ac:dyDescent="0.3"/>
  <cols>
    <col min="1" max="1" width="20" customWidth="1"/>
    <col min="2" max="2" width="10" customWidth="1"/>
    <col min="3" max="3" width="8" customWidth="1"/>
    <col min="4" max="4" width="14" customWidth="1"/>
    <col min="5" max="5" width="21.21875" style="26" customWidth="1"/>
    <col min="6" max="6" width="18.109375" customWidth="1"/>
  </cols>
  <sheetData>
    <row r="1" spans="1:6" ht="19.95" customHeight="1" x14ac:dyDescent="0.3">
      <c r="A1" s="1" t="s">
        <v>109</v>
      </c>
      <c r="B1" s="1" t="s">
        <v>110</v>
      </c>
      <c r="C1" s="1" t="s">
        <v>111</v>
      </c>
      <c r="D1" s="1" t="s">
        <v>112</v>
      </c>
      <c r="E1" s="27" t="s">
        <v>113</v>
      </c>
      <c r="F1" s="1" t="s">
        <v>114</v>
      </c>
    </row>
    <row r="2" spans="1:6" x14ac:dyDescent="0.3">
      <c r="A2" t="s">
        <v>115</v>
      </c>
      <c r="B2" t="s">
        <v>116</v>
      </c>
      <c r="C2">
        <v>2023</v>
      </c>
      <c r="D2" s="4">
        <v>1036.45</v>
      </c>
      <c r="E2" s="26">
        <v>45128</v>
      </c>
      <c r="F2" s="5" t="str" cm="1">
        <f t="array" ref="F2">_xlfn.IFS(D2 &gt;=5000, "A Kunde", D2 &gt;= 10000, "B Kunde", TRUE, "C Kunde")</f>
        <v>C Kunde</v>
      </c>
    </row>
    <row r="3" spans="1:6" x14ac:dyDescent="0.3">
      <c r="A3" t="s">
        <v>117</v>
      </c>
      <c r="B3" t="s">
        <v>116</v>
      </c>
      <c r="C3">
        <v>2023</v>
      </c>
      <c r="D3" s="4">
        <v>3631.46</v>
      </c>
      <c r="E3" s="26">
        <v>45150</v>
      </c>
      <c r="F3" s="5" t="str" cm="1">
        <f t="array" ref="F3">_xlfn.IFS(D3 &gt;=5000, "A Kunde", D3 &gt;= 10000, "B Kunde", TRUE, "C Kunde")</f>
        <v>C Kunde</v>
      </c>
    </row>
    <row r="4" spans="1:6" x14ac:dyDescent="0.3">
      <c r="A4" t="s">
        <v>118</v>
      </c>
      <c r="B4" t="s">
        <v>116</v>
      </c>
      <c r="C4">
        <v>2025</v>
      </c>
      <c r="D4" s="4">
        <v>2134.52</v>
      </c>
      <c r="E4" s="26">
        <v>45845</v>
      </c>
      <c r="F4" s="5" t="str" cm="1">
        <f t="array" ref="F4">_xlfn.IFS(D4 &gt;=5000, "A Kunde", D4 &gt;= 10000, "B Kunde", TRUE, "C Kunde")</f>
        <v>C Kunde</v>
      </c>
    </row>
    <row r="5" spans="1:6" x14ac:dyDescent="0.3">
      <c r="A5" t="s">
        <v>119</v>
      </c>
      <c r="B5" t="s">
        <v>120</v>
      </c>
      <c r="C5">
        <v>2024</v>
      </c>
      <c r="D5" s="4">
        <v>6584.27</v>
      </c>
      <c r="E5" s="26">
        <v>45497</v>
      </c>
      <c r="F5" s="5" t="str" cm="1">
        <f t="array" ref="F5">_xlfn.IFS(D5 &gt;=5000, "A Kunde", D5 &gt;= 10000, "B Kunde", TRUE, "C Kunde")</f>
        <v>A Kunde</v>
      </c>
    </row>
    <row r="6" spans="1:6" x14ac:dyDescent="0.3">
      <c r="A6" t="s">
        <v>121</v>
      </c>
      <c r="B6" t="s">
        <v>122</v>
      </c>
      <c r="C6">
        <v>2025</v>
      </c>
      <c r="D6" s="4">
        <v>11350.71</v>
      </c>
      <c r="E6" s="26">
        <v>45834</v>
      </c>
      <c r="F6" s="5" t="str" cm="1">
        <f t="array" ref="F6">_xlfn.IFS(D6 &gt;=5000, "A Kunde", D6 &gt;= 10000, "B Kunde", TRUE, "C Kunde")</f>
        <v>A Kunde</v>
      </c>
    </row>
    <row r="7" spans="1:6" x14ac:dyDescent="0.3">
      <c r="A7" t="s">
        <v>123</v>
      </c>
      <c r="B7" t="s">
        <v>120</v>
      </c>
      <c r="C7">
        <v>2023</v>
      </c>
      <c r="D7" s="4">
        <v>898.12</v>
      </c>
      <c r="E7" s="26">
        <v>45127</v>
      </c>
      <c r="F7" s="5" t="str" cm="1">
        <f t="array" ref="F7">_xlfn.IFS(D7 &gt;=5000, "A Kunde", D7 &gt;= 10000, "B Kunde", TRUE, "C Kunde")</f>
        <v>C Kunde</v>
      </c>
    </row>
    <row r="8" spans="1:6" x14ac:dyDescent="0.3">
      <c r="A8" t="s">
        <v>124</v>
      </c>
      <c r="B8" t="s">
        <v>120</v>
      </c>
      <c r="C8">
        <v>2023</v>
      </c>
      <c r="D8" s="4">
        <v>13572.15</v>
      </c>
      <c r="E8" s="26">
        <v>44957</v>
      </c>
      <c r="F8" s="5" t="str" cm="1">
        <f t="array" ref="F8">_xlfn.IFS(D8 &gt;=5000, "A Kunde", D8 &gt;= 10000, "B Kunde", TRUE, "C Kunde")</f>
        <v>A Kunde</v>
      </c>
    </row>
    <row r="9" spans="1:6" x14ac:dyDescent="0.3">
      <c r="A9" t="s">
        <v>125</v>
      </c>
      <c r="B9" t="s">
        <v>122</v>
      </c>
      <c r="C9">
        <v>2023</v>
      </c>
      <c r="D9" s="4">
        <v>5808.51</v>
      </c>
      <c r="E9" s="26">
        <v>45267</v>
      </c>
      <c r="F9" s="5" t="str" cm="1">
        <f t="array" ref="F9">_xlfn.IFS(D9 &gt;=5000, "A Kunde", D9 &gt;= 10000, "B Kunde", TRUE, "C Kunde")</f>
        <v>A Kunde</v>
      </c>
    </row>
    <row r="10" spans="1:6" x14ac:dyDescent="0.3">
      <c r="A10" t="s">
        <v>126</v>
      </c>
      <c r="B10" t="s">
        <v>116</v>
      </c>
      <c r="C10">
        <v>2024</v>
      </c>
      <c r="D10" s="4">
        <v>12132.18</v>
      </c>
      <c r="E10" s="26">
        <v>45364</v>
      </c>
      <c r="F10" s="5" t="str" cm="1">
        <f t="array" ref="F10">_xlfn.IFS(D10 &gt;=5000, "A Kunde", D10 &gt;= 10000, "B Kunde", TRUE, "C Kunde")</f>
        <v>A Kunde</v>
      </c>
    </row>
    <row r="11" spans="1:6" x14ac:dyDescent="0.3">
      <c r="A11" t="s">
        <v>115</v>
      </c>
      <c r="B11" t="s">
        <v>116</v>
      </c>
      <c r="C11">
        <v>2023</v>
      </c>
      <c r="D11" s="4">
        <v>5429.83</v>
      </c>
      <c r="E11" s="26">
        <v>45264</v>
      </c>
      <c r="F11" s="5" t="str" cm="1">
        <f t="array" ref="F11">_xlfn.IFS(D11 &gt;=5000, "A Kunde", D11 &gt;= 10000, "B Kunde", TRUE, "C Kunde")</f>
        <v>A Kunde</v>
      </c>
    </row>
    <row r="12" spans="1:6" x14ac:dyDescent="0.3">
      <c r="A12" t="s">
        <v>127</v>
      </c>
      <c r="B12" t="s">
        <v>128</v>
      </c>
      <c r="C12">
        <v>2024</v>
      </c>
      <c r="D12" s="4">
        <v>12985.95</v>
      </c>
      <c r="E12" s="26">
        <v>45470</v>
      </c>
      <c r="F12" s="5" t="str" cm="1">
        <f t="array" ref="F12">_xlfn.IFS(D12 &gt;=5000, "A Kunde", D12 &gt;= 10000, "B Kunde", TRUE, "C Kunde")</f>
        <v>A Kunde</v>
      </c>
    </row>
    <row r="13" spans="1:6" x14ac:dyDescent="0.3">
      <c r="A13" t="s">
        <v>129</v>
      </c>
      <c r="B13" t="s">
        <v>120</v>
      </c>
      <c r="C13">
        <v>2024</v>
      </c>
      <c r="D13" s="4">
        <v>6037.5</v>
      </c>
      <c r="E13" s="26">
        <v>45511</v>
      </c>
      <c r="F13" s="5" t="str" cm="1">
        <f t="array" ref="F13">_xlfn.IFS(D13 &gt;=5000, "A Kunde", D13 &gt;= 10000, "B Kunde", TRUE, "C Kunde")</f>
        <v>A Kunde</v>
      </c>
    </row>
    <row r="14" spans="1:6" x14ac:dyDescent="0.3">
      <c r="A14" t="s">
        <v>123</v>
      </c>
      <c r="B14" t="s">
        <v>120</v>
      </c>
      <c r="C14">
        <v>2025</v>
      </c>
      <c r="D14" s="4">
        <v>2336.1999999999998</v>
      </c>
      <c r="E14" s="26">
        <v>45923</v>
      </c>
      <c r="F14" s="5" t="str" cm="1">
        <f t="array" ref="F14">_xlfn.IFS(D14 &gt;=5000, "A Kunde", D14 &gt;= 10000, "B Kunde", TRUE, "C Kunde")</f>
        <v>C Kunde</v>
      </c>
    </row>
    <row r="15" spans="1:6" x14ac:dyDescent="0.3">
      <c r="A15" t="s">
        <v>130</v>
      </c>
      <c r="B15" t="s">
        <v>116</v>
      </c>
      <c r="C15">
        <v>2024</v>
      </c>
      <c r="D15" s="4">
        <v>13568.19</v>
      </c>
      <c r="E15" s="26">
        <v>45372</v>
      </c>
      <c r="F15" s="5" t="str" cm="1">
        <f t="array" ref="F15">_xlfn.IFS(D15 &gt;=5000, "A Kunde", D15 &gt;= 10000, "B Kunde", TRUE, "C Kunde")</f>
        <v>A Kunde</v>
      </c>
    </row>
    <row r="16" spans="1:6" x14ac:dyDescent="0.3">
      <c r="A16" t="s">
        <v>131</v>
      </c>
      <c r="B16" t="s">
        <v>122</v>
      </c>
      <c r="C16">
        <v>2023</v>
      </c>
      <c r="D16" s="4">
        <v>10522.06</v>
      </c>
      <c r="E16" s="26">
        <v>45051</v>
      </c>
      <c r="F16" s="5" t="str" cm="1">
        <f t="array" ref="F16">_xlfn.IFS(D16 &gt;=5000, "A Kunde", D16 &gt;= 10000, "B Kunde", TRUE, "C Kunde")</f>
        <v>A Kunde</v>
      </c>
    </row>
    <row r="17" spans="1:6" x14ac:dyDescent="0.3">
      <c r="A17" t="s">
        <v>115</v>
      </c>
      <c r="B17" t="s">
        <v>116</v>
      </c>
      <c r="C17">
        <v>2023</v>
      </c>
      <c r="D17" s="4">
        <v>8261.65</v>
      </c>
      <c r="E17" s="26">
        <v>45029</v>
      </c>
      <c r="F17" s="5" t="str" cm="1">
        <f t="array" ref="F17">_xlfn.IFS(D17 &gt;=5000, "A Kunde", D17 &gt;= 10000, "B Kunde", TRUE, "C Kunde")</f>
        <v>A Kunde</v>
      </c>
    </row>
    <row r="18" spans="1:6" x14ac:dyDescent="0.3">
      <c r="A18" t="s">
        <v>132</v>
      </c>
      <c r="B18" t="s">
        <v>128</v>
      </c>
      <c r="C18">
        <v>2025</v>
      </c>
      <c r="D18" s="4">
        <v>2372.5700000000002</v>
      </c>
      <c r="E18" s="26">
        <v>46014</v>
      </c>
      <c r="F18" s="5" t="str" cm="1">
        <f t="array" ref="F18">_xlfn.IFS(D18 &gt;=5000, "A Kunde", D18 &gt;= 10000, "B Kunde", TRUE, "C Kunde")</f>
        <v>C Kunde</v>
      </c>
    </row>
    <row r="19" spans="1:6" x14ac:dyDescent="0.3">
      <c r="A19" t="s">
        <v>132</v>
      </c>
      <c r="B19" t="s">
        <v>128</v>
      </c>
      <c r="C19">
        <v>2023</v>
      </c>
      <c r="D19" s="4">
        <v>11948.53</v>
      </c>
      <c r="E19" s="26">
        <v>45091</v>
      </c>
      <c r="F19" s="5" t="str" cm="1">
        <f t="array" ref="F19">_xlfn.IFS(D19 &gt;=5000, "A Kunde", D19 &gt;= 10000, "B Kunde", TRUE, "C Kunde")</f>
        <v>A Kunde</v>
      </c>
    </row>
    <row r="20" spans="1:6" x14ac:dyDescent="0.3">
      <c r="A20" t="s">
        <v>121</v>
      </c>
      <c r="B20" t="s">
        <v>122</v>
      </c>
      <c r="C20">
        <v>2023</v>
      </c>
      <c r="D20" s="4">
        <v>9517.93</v>
      </c>
      <c r="E20" s="26">
        <v>45066</v>
      </c>
      <c r="F20" s="5" t="str" cm="1">
        <f t="array" ref="F20">_xlfn.IFS(D20 &gt;=5000, "A Kunde", D20 &gt;= 10000, "B Kunde", TRUE, "C Kunde")</f>
        <v>A Kunde</v>
      </c>
    </row>
    <row r="21" spans="1:6" x14ac:dyDescent="0.3">
      <c r="A21" t="s">
        <v>125</v>
      </c>
      <c r="B21" t="s">
        <v>122</v>
      </c>
      <c r="C21">
        <v>2025</v>
      </c>
      <c r="D21" s="4">
        <v>1854.44</v>
      </c>
      <c r="E21" s="26">
        <v>45753</v>
      </c>
      <c r="F21" s="5" t="str" cm="1">
        <f t="array" ref="F21">_xlfn.IFS(D21 &gt;=5000, "A Kunde", D21 &gt;= 10000, "B Kunde", TRUE, "C Kunde")</f>
        <v>C Kunde</v>
      </c>
    </row>
    <row r="22" spans="1:6" x14ac:dyDescent="0.3">
      <c r="A22" t="s">
        <v>133</v>
      </c>
      <c r="B22" t="s">
        <v>128</v>
      </c>
      <c r="C22">
        <v>2024</v>
      </c>
      <c r="D22" s="4">
        <v>8189.08</v>
      </c>
      <c r="E22" s="26">
        <v>45431</v>
      </c>
      <c r="F22" s="5" t="str" cm="1">
        <f t="array" ref="F22">_xlfn.IFS(D22 &gt;=5000, "A Kunde", D22 &gt;= 10000, "B Kunde", TRUE, "C Kunde")</f>
        <v>A Kunde</v>
      </c>
    </row>
    <row r="23" spans="1:6" x14ac:dyDescent="0.3">
      <c r="A23" t="s">
        <v>134</v>
      </c>
      <c r="B23" t="s">
        <v>120</v>
      </c>
      <c r="C23">
        <v>2023</v>
      </c>
      <c r="D23" s="4">
        <v>5985.3</v>
      </c>
      <c r="E23" s="26">
        <v>45094</v>
      </c>
      <c r="F23" s="5" t="str" cm="1">
        <f t="array" ref="F23">_xlfn.IFS(D23 &gt;=5000, "A Kunde", D23 &gt;= 10000, "B Kunde", TRUE, "C Kunde")</f>
        <v>A Kunde</v>
      </c>
    </row>
    <row r="24" spans="1:6" x14ac:dyDescent="0.3">
      <c r="A24" t="s">
        <v>131</v>
      </c>
      <c r="B24" t="s">
        <v>122</v>
      </c>
      <c r="C24">
        <v>2025</v>
      </c>
      <c r="D24" s="4">
        <v>4565.8999999999996</v>
      </c>
      <c r="E24" s="26">
        <v>45997</v>
      </c>
      <c r="F24" s="5" t="str" cm="1">
        <f t="array" ref="F24">_xlfn.IFS(D24 &gt;=5000, "A Kunde", D24 &gt;= 10000, "B Kunde", TRUE, "C Kunde")</f>
        <v>C Kunde</v>
      </c>
    </row>
    <row r="25" spans="1:6" x14ac:dyDescent="0.3">
      <c r="A25" t="s">
        <v>135</v>
      </c>
      <c r="B25" t="s">
        <v>116</v>
      </c>
      <c r="C25">
        <v>2024</v>
      </c>
      <c r="D25" s="4">
        <v>9442.2199999999993</v>
      </c>
      <c r="E25" s="26">
        <v>45345</v>
      </c>
      <c r="F25" s="5" t="str" cm="1">
        <f t="array" ref="F25">_xlfn.IFS(D25 &gt;=5000, "A Kunde", D25 &gt;= 10000, "B Kunde", TRUE, "C Kunde")</f>
        <v>A Kunde</v>
      </c>
    </row>
    <row r="26" spans="1:6" x14ac:dyDescent="0.3">
      <c r="A26" t="s">
        <v>136</v>
      </c>
      <c r="B26" t="s">
        <v>120</v>
      </c>
      <c r="C26">
        <v>2024</v>
      </c>
      <c r="D26" s="4">
        <v>3865.48</v>
      </c>
      <c r="E26" s="26">
        <v>45415</v>
      </c>
      <c r="F26" s="5" t="str" cm="1">
        <f t="array" ref="F26">_xlfn.IFS(D26 &gt;=5000, "A Kunde", D26 &gt;= 10000, "B Kunde", TRUE, "C Kunde")</f>
        <v>C Kunde</v>
      </c>
    </row>
    <row r="27" spans="1:6" x14ac:dyDescent="0.3">
      <c r="A27" t="s">
        <v>137</v>
      </c>
      <c r="B27" t="s">
        <v>128</v>
      </c>
      <c r="C27">
        <v>2024</v>
      </c>
      <c r="D27" s="4">
        <v>6509.7</v>
      </c>
      <c r="E27" s="26">
        <v>45541</v>
      </c>
      <c r="F27" s="5" t="str" cm="1">
        <f t="array" ref="F27">_xlfn.IFS(D27 &gt;=5000, "A Kunde", D27 &gt;= 10000, "B Kunde", TRUE, "C Kunde")</f>
        <v>A Kunde</v>
      </c>
    </row>
    <row r="28" spans="1:6" x14ac:dyDescent="0.3">
      <c r="A28" t="s">
        <v>121</v>
      </c>
      <c r="B28" t="s">
        <v>122</v>
      </c>
      <c r="C28">
        <v>2023</v>
      </c>
      <c r="D28" s="4">
        <v>6524.34</v>
      </c>
      <c r="E28" s="26">
        <v>44946</v>
      </c>
      <c r="F28" s="5" t="str" cm="1">
        <f t="array" ref="F28">_xlfn.IFS(D28 &gt;=5000, "A Kunde", D28 &gt;= 10000, "B Kunde", TRUE, "C Kunde")</f>
        <v>A Kunde</v>
      </c>
    </row>
    <row r="29" spans="1:6" x14ac:dyDescent="0.3">
      <c r="A29" t="s">
        <v>133</v>
      </c>
      <c r="B29" t="s">
        <v>128</v>
      </c>
      <c r="C29">
        <v>2023</v>
      </c>
      <c r="D29" s="4">
        <v>1211</v>
      </c>
      <c r="E29" s="26">
        <v>45131</v>
      </c>
      <c r="F29" s="5" t="str" cm="1">
        <f t="array" ref="F29">_xlfn.IFS(D29 &gt;=5000, "A Kunde", D29 &gt;= 10000, "B Kunde", TRUE, "C Kunde")</f>
        <v>C Kunde</v>
      </c>
    </row>
    <row r="30" spans="1:6" x14ac:dyDescent="0.3">
      <c r="A30" t="s">
        <v>138</v>
      </c>
      <c r="B30" t="s">
        <v>122</v>
      </c>
      <c r="C30">
        <v>2025</v>
      </c>
      <c r="D30" s="4">
        <v>3859.77</v>
      </c>
      <c r="E30" s="26">
        <v>45963</v>
      </c>
      <c r="F30" s="5" t="str" cm="1">
        <f t="array" ref="F30">_xlfn.IFS(D30 &gt;=5000, "A Kunde", D30 &gt;= 10000, "B Kunde", TRUE, "C Kunde")</f>
        <v>C Kunde</v>
      </c>
    </row>
    <row r="31" spans="1:6" x14ac:dyDescent="0.3">
      <c r="A31" t="s">
        <v>139</v>
      </c>
      <c r="B31" t="s">
        <v>120</v>
      </c>
      <c r="C31">
        <v>2023</v>
      </c>
      <c r="D31" s="4">
        <v>12333.93</v>
      </c>
      <c r="E31" s="26">
        <v>45067</v>
      </c>
      <c r="F31" s="5" t="str" cm="1">
        <f t="array" ref="F31">_xlfn.IFS(D31 &gt;=5000, "A Kunde", D31 &gt;= 10000, "B Kunde", TRUE, "C Kunde")</f>
        <v>A Kunde</v>
      </c>
    </row>
    <row r="32" spans="1:6" x14ac:dyDescent="0.3">
      <c r="A32" t="s">
        <v>140</v>
      </c>
      <c r="B32" t="s">
        <v>128</v>
      </c>
      <c r="C32">
        <v>2024</v>
      </c>
      <c r="D32" s="4">
        <v>2376.91</v>
      </c>
      <c r="E32" s="26">
        <v>45510</v>
      </c>
      <c r="F32" s="5" t="str" cm="1">
        <f t="array" ref="F32">_xlfn.IFS(D32 &gt;=5000, "A Kunde", D32 &gt;= 10000, "B Kunde", TRUE, "C Kunde")</f>
        <v>C Kunde</v>
      </c>
    </row>
    <row r="33" spans="1:6" x14ac:dyDescent="0.3">
      <c r="A33" t="s">
        <v>124</v>
      </c>
      <c r="B33" t="s">
        <v>120</v>
      </c>
      <c r="C33">
        <v>2024</v>
      </c>
      <c r="D33" s="4">
        <v>8641.15</v>
      </c>
      <c r="E33" s="26">
        <v>45546</v>
      </c>
      <c r="F33" s="5" t="str" cm="1">
        <f t="array" ref="F33">_xlfn.IFS(D33 &gt;=5000, "A Kunde", D33 &gt;= 10000, "B Kunde", TRUE, "C Kunde")</f>
        <v>A Kunde</v>
      </c>
    </row>
    <row r="34" spans="1:6" x14ac:dyDescent="0.3">
      <c r="A34" t="s">
        <v>141</v>
      </c>
      <c r="B34" t="s">
        <v>116</v>
      </c>
      <c r="C34">
        <v>2023</v>
      </c>
      <c r="D34" s="4">
        <v>9416.51</v>
      </c>
      <c r="E34" s="26">
        <v>44943</v>
      </c>
      <c r="F34" s="5" t="str" cm="1">
        <f t="array" ref="F34">_xlfn.IFS(D34 &gt;=5000, "A Kunde", D34 &gt;= 10000, "B Kunde", TRUE, "C Kunde")</f>
        <v>A Kunde</v>
      </c>
    </row>
    <row r="35" spans="1:6" x14ac:dyDescent="0.3">
      <c r="A35" t="s">
        <v>123</v>
      </c>
      <c r="B35" t="s">
        <v>120</v>
      </c>
      <c r="C35">
        <v>2024</v>
      </c>
      <c r="D35" s="4">
        <v>13058.23</v>
      </c>
      <c r="E35" s="26">
        <v>45540</v>
      </c>
      <c r="F35" s="5" t="str" cm="1">
        <f t="array" ref="F35">_xlfn.IFS(D35 &gt;=5000, "A Kunde", D35 &gt;= 10000, "B Kunde", TRUE, "C Kunde")</f>
        <v>A Kunde</v>
      </c>
    </row>
    <row r="36" spans="1:6" x14ac:dyDescent="0.3">
      <c r="A36" t="s">
        <v>142</v>
      </c>
      <c r="B36" t="s">
        <v>120</v>
      </c>
      <c r="C36">
        <v>2023</v>
      </c>
      <c r="D36" s="4">
        <v>3849.63</v>
      </c>
      <c r="E36" s="26">
        <v>45202</v>
      </c>
      <c r="F36" s="5" t="str" cm="1">
        <f t="array" ref="F36">_xlfn.IFS(D36 &gt;=5000, "A Kunde", D36 &gt;= 10000, "B Kunde", TRUE, "C Kunde")</f>
        <v>C Kunde</v>
      </c>
    </row>
    <row r="37" spans="1:6" x14ac:dyDescent="0.3">
      <c r="A37" t="s">
        <v>142</v>
      </c>
      <c r="B37" t="s">
        <v>120</v>
      </c>
      <c r="C37">
        <v>2023</v>
      </c>
      <c r="D37" s="4">
        <v>3958.41</v>
      </c>
      <c r="E37" s="26">
        <v>45245</v>
      </c>
      <c r="F37" s="5" t="str" cm="1">
        <f t="array" ref="F37">_xlfn.IFS(D37 &gt;=5000, "A Kunde", D37 &gt;= 10000, "B Kunde", TRUE, "C Kunde")</f>
        <v>C Kunde</v>
      </c>
    </row>
    <row r="38" spans="1:6" x14ac:dyDescent="0.3">
      <c r="A38" t="s">
        <v>143</v>
      </c>
      <c r="B38" t="s">
        <v>122</v>
      </c>
      <c r="C38">
        <v>2024</v>
      </c>
      <c r="D38" s="4">
        <v>10103.049999999999</v>
      </c>
      <c r="E38" s="26">
        <v>45358</v>
      </c>
      <c r="F38" s="5" t="str" cm="1">
        <f t="array" ref="F38">_xlfn.IFS(D38 &gt;=5000, "A Kunde", D38 &gt;= 10000, "B Kunde", TRUE, "C Kunde")</f>
        <v>A Kunde</v>
      </c>
    </row>
    <row r="39" spans="1:6" x14ac:dyDescent="0.3">
      <c r="A39" t="s">
        <v>138</v>
      </c>
      <c r="B39" t="s">
        <v>122</v>
      </c>
      <c r="C39">
        <v>2024</v>
      </c>
      <c r="D39" s="4">
        <v>7174.65</v>
      </c>
      <c r="E39" s="26">
        <v>45467</v>
      </c>
      <c r="F39" s="5" t="str" cm="1">
        <f t="array" ref="F39">_xlfn.IFS(D39 &gt;=5000, "A Kunde", D39 &gt;= 10000, "B Kunde", TRUE, "C Kunde")</f>
        <v>A Kunde</v>
      </c>
    </row>
    <row r="40" spans="1:6" x14ac:dyDescent="0.3">
      <c r="A40" t="s">
        <v>135</v>
      </c>
      <c r="B40" t="s">
        <v>116</v>
      </c>
      <c r="C40">
        <v>2023</v>
      </c>
      <c r="D40" s="4">
        <v>1473.72</v>
      </c>
      <c r="E40" s="26">
        <v>45031</v>
      </c>
      <c r="F40" s="5" t="str" cm="1">
        <f t="array" ref="F40">_xlfn.IFS(D40 &gt;=5000, "A Kunde", D40 &gt;= 10000, "B Kunde", TRUE, "C Kunde")</f>
        <v>C Kunde</v>
      </c>
    </row>
    <row r="41" spans="1:6" x14ac:dyDescent="0.3">
      <c r="A41" t="s">
        <v>144</v>
      </c>
      <c r="B41" t="s">
        <v>116</v>
      </c>
      <c r="C41">
        <v>2024</v>
      </c>
      <c r="D41" s="4">
        <v>808.4</v>
      </c>
      <c r="E41" s="26">
        <v>45493</v>
      </c>
      <c r="F41" s="5" t="str" cm="1">
        <f t="array" ref="F41">_xlfn.IFS(D41 &gt;=5000, "A Kunde", D41 &gt;= 10000, "B Kunde", TRUE, "C Kunde")</f>
        <v>C Kunde</v>
      </c>
    </row>
    <row r="42" spans="1:6" x14ac:dyDescent="0.3">
      <c r="A42" t="s">
        <v>117</v>
      </c>
      <c r="B42" t="s">
        <v>116</v>
      </c>
      <c r="C42">
        <v>2023</v>
      </c>
      <c r="D42" s="4">
        <v>8992.16</v>
      </c>
      <c r="E42" s="26">
        <v>45194</v>
      </c>
      <c r="F42" s="5" t="str" cm="1">
        <f t="array" ref="F42">_xlfn.IFS(D42 &gt;=5000, "A Kunde", D42 &gt;= 10000, "B Kunde", TRUE, "C Kunde")</f>
        <v>A Kunde</v>
      </c>
    </row>
    <row r="43" spans="1:6" x14ac:dyDescent="0.3">
      <c r="A43" t="s">
        <v>135</v>
      </c>
      <c r="B43" t="s">
        <v>116</v>
      </c>
      <c r="C43">
        <v>2023</v>
      </c>
      <c r="D43" s="4">
        <v>10428.99</v>
      </c>
      <c r="E43" s="26">
        <v>45257</v>
      </c>
      <c r="F43" s="5" t="str" cm="1">
        <f t="array" ref="F43">_xlfn.IFS(D43 &gt;=5000, "A Kunde", D43 &gt;= 10000, "B Kunde", TRUE, "C Kunde")</f>
        <v>A Kunde</v>
      </c>
    </row>
    <row r="44" spans="1:6" x14ac:dyDescent="0.3">
      <c r="A44" t="s">
        <v>123</v>
      </c>
      <c r="B44" t="s">
        <v>120</v>
      </c>
      <c r="C44">
        <v>2025</v>
      </c>
      <c r="D44" s="4">
        <v>7940.51</v>
      </c>
      <c r="E44" s="26">
        <v>45802</v>
      </c>
      <c r="F44" s="5" t="str" cm="1">
        <f t="array" ref="F44">_xlfn.IFS(D44 &gt;=5000, "A Kunde", D44 &gt;= 10000, "B Kunde", TRUE, "C Kunde")</f>
        <v>A Kunde</v>
      </c>
    </row>
    <row r="45" spans="1:6" x14ac:dyDescent="0.3">
      <c r="A45" t="s">
        <v>145</v>
      </c>
      <c r="B45" t="s">
        <v>120</v>
      </c>
      <c r="C45">
        <v>2023</v>
      </c>
      <c r="D45" s="4">
        <v>13241.7</v>
      </c>
      <c r="E45" s="26">
        <v>45081</v>
      </c>
      <c r="F45" s="5" t="str" cm="1">
        <f t="array" ref="F45">_xlfn.IFS(D45 &gt;=5000, "A Kunde", D45 &gt;= 10000, "B Kunde", TRUE, "C Kunde")</f>
        <v>A Kunde</v>
      </c>
    </row>
    <row r="46" spans="1:6" x14ac:dyDescent="0.3">
      <c r="A46" t="s">
        <v>146</v>
      </c>
      <c r="B46" t="s">
        <v>128</v>
      </c>
      <c r="C46">
        <v>2023</v>
      </c>
      <c r="D46" s="4">
        <v>11717.41</v>
      </c>
      <c r="E46" s="26">
        <v>45000</v>
      </c>
      <c r="F46" s="5" t="str" cm="1">
        <f t="array" ref="F46">_xlfn.IFS(D46 &gt;=5000, "A Kunde", D46 &gt;= 10000, "B Kunde", TRUE, "C Kunde")</f>
        <v>A Kunde</v>
      </c>
    </row>
    <row r="47" spans="1:6" x14ac:dyDescent="0.3">
      <c r="A47" t="s">
        <v>131</v>
      </c>
      <c r="B47" t="s">
        <v>122</v>
      </c>
      <c r="C47">
        <v>2023</v>
      </c>
      <c r="D47" s="4">
        <v>6131.06</v>
      </c>
      <c r="E47" s="26">
        <v>45230</v>
      </c>
      <c r="F47" s="5" t="str" cm="1">
        <f t="array" ref="F47">_xlfn.IFS(D47 &gt;=5000, "A Kunde", D47 &gt;= 10000, "B Kunde", TRUE, "C Kunde")</f>
        <v>A Kunde</v>
      </c>
    </row>
    <row r="48" spans="1:6" x14ac:dyDescent="0.3">
      <c r="A48" t="s">
        <v>134</v>
      </c>
      <c r="B48" t="s">
        <v>120</v>
      </c>
      <c r="C48">
        <v>2024</v>
      </c>
      <c r="D48" s="4">
        <v>5232.1899999999996</v>
      </c>
      <c r="E48" s="26">
        <v>45558</v>
      </c>
      <c r="F48" s="5" t="str" cm="1">
        <f t="array" ref="F48">_xlfn.IFS(D48 &gt;=5000, "A Kunde", D48 &gt;= 10000, "B Kunde", TRUE, "C Kunde")</f>
        <v>A Kunde</v>
      </c>
    </row>
    <row r="49" spans="1:6" x14ac:dyDescent="0.3">
      <c r="A49" t="s">
        <v>134</v>
      </c>
      <c r="B49" t="s">
        <v>120</v>
      </c>
      <c r="C49">
        <v>2025</v>
      </c>
      <c r="D49" s="4">
        <v>3099.06</v>
      </c>
      <c r="E49" s="26">
        <v>45659</v>
      </c>
      <c r="F49" s="5" t="str" cm="1">
        <f t="array" ref="F49">_xlfn.IFS(D49 &gt;=5000, "A Kunde", D49 &gt;= 10000, "B Kunde", TRUE, "C Kunde")</f>
        <v>C Kunde</v>
      </c>
    </row>
    <row r="50" spans="1:6" x14ac:dyDescent="0.3">
      <c r="A50" t="s">
        <v>125</v>
      </c>
      <c r="B50" t="s">
        <v>122</v>
      </c>
      <c r="C50">
        <v>2023</v>
      </c>
      <c r="D50" s="4">
        <v>5080.7700000000004</v>
      </c>
      <c r="E50" s="26">
        <v>45137</v>
      </c>
      <c r="F50" s="5" t="str" cm="1">
        <f t="array" ref="F50">_xlfn.IFS(D50 &gt;=5000, "A Kunde", D50 &gt;= 10000, "B Kunde", TRUE, "C Kunde")</f>
        <v>A Kunde</v>
      </c>
    </row>
    <row r="51" spans="1:6" x14ac:dyDescent="0.3">
      <c r="A51" t="s">
        <v>123</v>
      </c>
      <c r="B51" t="s">
        <v>120</v>
      </c>
      <c r="C51">
        <v>2025</v>
      </c>
      <c r="D51" s="4">
        <v>13638.95</v>
      </c>
      <c r="E51" s="26">
        <v>45759</v>
      </c>
      <c r="F51" s="5" t="str" cm="1">
        <f t="array" ref="F51">_xlfn.IFS(D51 &gt;=5000, "A Kunde", D51 &gt;= 10000, "B Kunde", TRUE, "C Kunde")</f>
        <v>A Kunde</v>
      </c>
    </row>
    <row r="52" spans="1:6" x14ac:dyDescent="0.3">
      <c r="A52" t="s">
        <v>146</v>
      </c>
      <c r="B52" t="s">
        <v>128</v>
      </c>
      <c r="C52">
        <v>2024</v>
      </c>
      <c r="D52" s="4">
        <v>12131.56</v>
      </c>
      <c r="E52" s="26">
        <v>45411</v>
      </c>
      <c r="F52" s="5" t="str" cm="1">
        <f t="array" ref="F52">_xlfn.IFS(D52 &gt;=5000, "A Kunde", D52 &gt;= 10000, "B Kunde", TRUE, "C Kunde")</f>
        <v>A Kunde</v>
      </c>
    </row>
    <row r="53" spans="1:6" x14ac:dyDescent="0.3">
      <c r="A53" t="s">
        <v>119</v>
      </c>
      <c r="B53" t="s">
        <v>120</v>
      </c>
      <c r="C53">
        <v>2025</v>
      </c>
      <c r="D53" s="4">
        <v>542.04999999999995</v>
      </c>
      <c r="E53" s="26">
        <v>45771</v>
      </c>
      <c r="F53" s="5" t="str" cm="1">
        <f t="array" ref="F53">_xlfn.IFS(D53 &gt;=5000, "A Kunde", D53 &gt;= 10000, "B Kunde", TRUE, "C Kunde")</f>
        <v>C Kunde</v>
      </c>
    </row>
    <row r="54" spans="1:6" x14ac:dyDescent="0.3">
      <c r="A54" t="s">
        <v>117</v>
      </c>
      <c r="B54" t="s">
        <v>116</v>
      </c>
      <c r="C54">
        <v>2025</v>
      </c>
      <c r="D54" s="4">
        <v>11270.84</v>
      </c>
      <c r="E54" s="26">
        <v>45770</v>
      </c>
      <c r="F54" s="5" t="str" cm="1">
        <f t="array" ref="F54">_xlfn.IFS(D54 &gt;=5000, "A Kunde", D54 &gt;= 10000, "B Kunde", TRUE, "C Kunde")</f>
        <v>A Kunde</v>
      </c>
    </row>
    <row r="55" spans="1:6" x14ac:dyDescent="0.3">
      <c r="A55" t="s">
        <v>125</v>
      </c>
      <c r="B55" t="s">
        <v>122</v>
      </c>
      <c r="C55">
        <v>2024</v>
      </c>
      <c r="D55" s="4">
        <v>2396.9299999999998</v>
      </c>
      <c r="E55" s="26">
        <v>45473</v>
      </c>
      <c r="F55" s="5" t="str" cm="1">
        <f t="array" ref="F55">_xlfn.IFS(D55 &gt;=5000, "A Kunde", D55 &gt;= 10000, "B Kunde", TRUE, "C Kunde")</f>
        <v>C Kunde</v>
      </c>
    </row>
    <row r="56" spans="1:6" x14ac:dyDescent="0.3">
      <c r="A56" t="s">
        <v>142</v>
      </c>
      <c r="B56" t="s">
        <v>120</v>
      </c>
      <c r="C56">
        <v>2025</v>
      </c>
      <c r="D56" s="4">
        <v>12235.9</v>
      </c>
      <c r="E56" s="26">
        <v>45710</v>
      </c>
      <c r="F56" s="5" t="str" cm="1">
        <f t="array" ref="F56">_xlfn.IFS(D56 &gt;=5000, "A Kunde", D56 &gt;= 10000, "B Kunde", TRUE, "C Kunde")</f>
        <v>A Kunde</v>
      </c>
    </row>
    <row r="57" spans="1:6" x14ac:dyDescent="0.3">
      <c r="A57" t="s">
        <v>126</v>
      </c>
      <c r="B57" t="s">
        <v>116</v>
      </c>
      <c r="C57">
        <v>2024</v>
      </c>
      <c r="D57" s="4">
        <v>2954.11</v>
      </c>
      <c r="E57" s="26">
        <v>45382</v>
      </c>
      <c r="F57" s="5" t="str" cm="1">
        <f t="array" ref="F57">_xlfn.IFS(D57 &gt;=5000, "A Kunde", D57 &gt;= 10000, "B Kunde", TRUE, "C Kunde")</f>
        <v>C Kunde</v>
      </c>
    </row>
    <row r="58" spans="1:6" x14ac:dyDescent="0.3">
      <c r="A58" t="s">
        <v>129</v>
      </c>
      <c r="B58" t="s">
        <v>120</v>
      </c>
      <c r="C58">
        <v>2024</v>
      </c>
      <c r="D58" s="4">
        <v>4411.63</v>
      </c>
      <c r="E58" s="26">
        <v>45643</v>
      </c>
      <c r="F58" s="5" t="str" cm="1">
        <f t="array" ref="F58">_xlfn.IFS(D58 &gt;=5000, "A Kunde", D58 &gt;= 10000, "B Kunde", TRUE, "C Kunde")</f>
        <v>C Kunde</v>
      </c>
    </row>
    <row r="59" spans="1:6" x14ac:dyDescent="0.3">
      <c r="A59" t="s">
        <v>147</v>
      </c>
      <c r="B59" t="s">
        <v>120</v>
      </c>
      <c r="C59">
        <v>2024</v>
      </c>
      <c r="D59" s="4">
        <v>526.57000000000005</v>
      </c>
      <c r="E59" s="26">
        <v>45383</v>
      </c>
      <c r="F59" s="5" t="str" cm="1">
        <f t="array" ref="F59">_xlfn.IFS(D59 &gt;=5000, "A Kunde", D59 &gt;= 10000, "B Kunde", TRUE, "C Kunde")</f>
        <v>C Kunde</v>
      </c>
    </row>
    <row r="60" spans="1:6" x14ac:dyDescent="0.3">
      <c r="A60" t="s">
        <v>118</v>
      </c>
      <c r="B60" t="s">
        <v>116</v>
      </c>
      <c r="C60">
        <v>2025</v>
      </c>
      <c r="D60" s="4">
        <v>4730.01</v>
      </c>
      <c r="E60" s="26">
        <v>45743</v>
      </c>
      <c r="F60" s="5" t="str" cm="1">
        <f t="array" ref="F60">_xlfn.IFS(D60 &gt;=5000, "A Kunde", D60 &gt;= 10000, "B Kunde", TRUE, "C Kunde")</f>
        <v>C Kunde</v>
      </c>
    </row>
    <row r="61" spans="1:6" x14ac:dyDescent="0.3">
      <c r="A61" t="s">
        <v>121</v>
      </c>
      <c r="B61" t="s">
        <v>122</v>
      </c>
      <c r="C61">
        <v>2024</v>
      </c>
      <c r="D61" s="4">
        <v>5045.82</v>
      </c>
      <c r="E61" s="26">
        <v>45498</v>
      </c>
      <c r="F61" s="5" t="str" cm="1">
        <f t="array" ref="F61">_xlfn.IFS(D61 &gt;=5000, "A Kunde", D61 &gt;= 10000, "B Kunde", TRUE, "C Kunde")</f>
        <v>A Kunde</v>
      </c>
    </row>
    <row r="62" spans="1:6" x14ac:dyDescent="0.3">
      <c r="A62" t="s">
        <v>132</v>
      </c>
      <c r="B62" t="s">
        <v>128</v>
      </c>
      <c r="C62">
        <v>2025</v>
      </c>
      <c r="D62" s="4">
        <v>9577.35</v>
      </c>
      <c r="E62" s="26">
        <v>45745</v>
      </c>
      <c r="F62" s="5" t="str" cm="1">
        <f t="array" ref="F62">_xlfn.IFS(D62 &gt;=5000, "A Kunde", D62 &gt;= 10000, "B Kunde", TRUE, "C Kunde")</f>
        <v>A Kunde</v>
      </c>
    </row>
    <row r="63" spans="1:6" x14ac:dyDescent="0.3">
      <c r="A63" t="s">
        <v>124</v>
      </c>
      <c r="B63" t="s">
        <v>120</v>
      </c>
      <c r="C63">
        <v>2024</v>
      </c>
      <c r="D63" s="4">
        <v>13161.47</v>
      </c>
      <c r="E63" s="26">
        <v>45605</v>
      </c>
      <c r="F63" s="5" t="str" cm="1">
        <f t="array" ref="F63">_xlfn.IFS(D63 &gt;=5000, "A Kunde", D63 &gt;= 10000, "B Kunde", TRUE, "C Kunde")</f>
        <v>A Kunde</v>
      </c>
    </row>
    <row r="64" spans="1:6" x14ac:dyDescent="0.3">
      <c r="A64" t="s">
        <v>145</v>
      </c>
      <c r="B64" t="s">
        <v>120</v>
      </c>
      <c r="C64">
        <v>2024</v>
      </c>
      <c r="D64" s="4">
        <v>2664.24</v>
      </c>
      <c r="E64" s="26">
        <v>45461</v>
      </c>
      <c r="F64" s="5" t="str" cm="1">
        <f t="array" ref="F64">_xlfn.IFS(D64 &gt;=5000, "A Kunde", D64 &gt;= 10000, "B Kunde", TRUE, "C Kunde")</f>
        <v>C Kunde</v>
      </c>
    </row>
    <row r="65" spans="1:6" x14ac:dyDescent="0.3">
      <c r="A65" t="s">
        <v>135</v>
      </c>
      <c r="B65" t="s">
        <v>116</v>
      </c>
      <c r="C65">
        <v>2023</v>
      </c>
      <c r="D65" s="4">
        <v>1695.96</v>
      </c>
      <c r="E65" s="26">
        <v>45005</v>
      </c>
      <c r="F65" s="5" t="str" cm="1">
        <f t="array" ref="F65">_xlfn.IFS(D65 &gt;=5000, "A Kunde", D65 &gt;= 10000, "B Kunde", TRUE, "C Kunde")</f>
        <v>C Kunde</v>
      </c>
    </row>
    <row r="66" spans="1:6" x14ac:dyDescent="0.3">
      <c r="A66" t="s">
        <v>144</v>
      </c>
      <c r="B66" t="s">
        <v>116</v>
      </c>
      <c r="C66">
        <v>2024</v>
      </c>
      <c r="D66" s="4">
        <v>10253.92</v>
      </c>
      <c r="E66" s="26">
        <v>45634</v>
      </c>
      <c r="F66" s="5" t="str" cm="1">
        <f t="array" ref="F66">_xlfn.IFS(D66 &gt;=5000, "A Kunde", D66 &gt;= 10000, "B Kunde", TRUE, "C Kunde")</f>
        <v>A Kunde</v>
      </c>
    </row>
    <row r="67" spans="1:6" x14ac:dyDescent="0.3">
      <c r="A67" t="s">
        <v>136</v>
      </c>
      <c r="B67" t="s">
        <v>120</v>
      </c>
      <c r="C67">
        <v>2025</v>
      </c>
      <c r="D67" s="4">
        <v>8565.68</v>
      </c>
      <c r="E67" s="26">
        <v>45820</v>
      </c>
      <c r="F67" s="5" t="str" cm="1">
        <f t="array" ref="F67">_xlfn.IFS(D67 &gt;=5000, "A Kunde", D67 &gt;= 10000, "B Kunde", TRUE, "C Kunde")</f>
        <v>A Kunde</v>
      </c>
    </row>
    <row r="68" spans="1:6" x14ac:dyDescent="0.3">
      <c r="A68" t="s">
        <v>132</v>
      </c>
      <c r="B68" t="s">
        <v>128</v>
      </c>
      <c r="C68">
        <v>2023</v>
      </c>
      <c r="D68" s="4">
        <v>5515.7</v>
      </c>
      <c r="E68" s="26">
        <v>45163</v>
      </c>
      <c r="F68" s="5" t="str" cm="1">
        <f t="array" ref="F68">_xlfn.IFS(D68 &gt;=5000, "A Kunde", D68 &gt;= 10000, "B Kunde", TRUE, "C Kunde")</f>
        <v>A Kunde</v>
      </c>
    </row>
    <row r="69" spans="1:6" x14ac:dyDescent="0.3">
      <c r="A69" t="s">
        <v>133</v>
      </c>
      <c r="B69" t="s">
        <v>128</v>
      </c>
      <c r="C69">
        <v>2024</v>
      </c>
      <c r="D69" s="4">
        <v>3715.17</v>
      </c>
      <c r="E69" s="26">
        <v>45316</v>
      </c>
      <c r="F69" s="5" t="str" cm="1">
        <f t="array" ref="F69">_xlfn.IFS(D69 &gt;=5000, "A Kunde", D69 &gt;= 10000, "B Kunde", TRUE, "C Kunde")</f>
        <v>C Kunde</v>
      </c>
    </row>
    <row r="70" spans="1:6" x14ac:dyDescent="0.3">
      <c r="A70" t="s">
        <v>144</v>
      </c>
      <c r="B70" t="s">
        <v>116</v>
      </c>
      <c r="C70">
        <v>2023</v>
      </c>
      <c r="D70" s="4">
        <v>7374.9</v>
      </c>
      <c r="E70" s="26">
        <v>44930</v>
      </c>
      <c r="F70" s="5" t="str" cm="1">
        <f t="array" ref="F70">_xlfn.IFS(D70 &gt;=5000, "A Kunde", D70 &gt;= 10000, "B Kunde", TRUE, "C Kunde")</f>
        <v>A Kunde</v>
      </c>
    </row>
    <row r="71" spans="1:6" x14ac:dyDescent="0.3">
      <c r="A71" t="s">
        <v>124</v>
      </c>
      <c r="B71" t="s">
        <v>120</v>
      </c>
      <c r="C71">
        <v>2024</v>
      </c>
      <c r="D71" s="4">
        <v>5226.26</v>
      </c>
      <c r="E71" s="26">
        <v>45330</v>
      </c>
      <c r="F71" s="5" t="str" cm="1">
        <f t="array" ref="F71">_xlfn.IFS(D71 &gt;=5000, "A Kunde", D71 &gt;= 10000, "B Kunde", TRUE, "C Kunde")</f>
        <v>A Kunde</v>
      </c>
    </row>
    <row r="72" spans="1:6" x14ac:dyDescent="0.3">
      <c r="A72" t="s">
        <v>121</v>
      </c>
      <c r="B72" t="s">
        <v>122</v>
      </c>
      <c r="C72">
        <v>2024</v>
      </c>
      <c r="D72" s="4">
        <v>8799.5400000000009</v>
      </c>
      <c r="E72" s="26">
        <v>45603</v>
      </c>
      <c r="F72" s="5" t="str" cm="1">
        <f t="array" ref="F72">_xlfn.IFS(D72 &gt;=5000, "A Kunde", D72 &gt;= 10000, "B Kunde", TRUE, "C Kunde")</f>
        <v>A Kunde</v>
      </c>
    </row>
    <row r="73" spans="1:6" x14ac:dyDescent="0.3">
      <c r="A73" t="s">
        <v>145</v>
      </c>
      <c r="B73" t="s">
        <v>120</v>
      </c>
      <c r="C73">
        <v>2024</v>
      </c>
      <c r="D73" s="4">
        <v>7198.29</v>
      </c>
      <c r="E73" s="26">
        <v>45542</v>
      </c>
      <c r="F73" s="5" t="str" cm="1">
        <f t="array" ref="F73">_xlfn.IFS(D73 &gt;=5000, "A Kunde", D73 &gt;= 10000, "B Kunde", TRUE, "C Kunde")</f>
        <v>A Kunde</v>
      </c>
    </row>
    <row r="74" spans="1:6" x14ac:dyDescent="0.3">
      <c r="A74" t="s">
        <v>148</v>
      </c>
      <c r="B74" t="s">
        <v>120</v>
      </c>
      <c r="C74">
        <v>2024</v>
      </c>
      <c r="D74" s="4">
        <v>5753.13</v>
      </c>
      <c r="E74" s="26">
        <v>45595</v>
      </c>
      <c r="F74" s="5" t="str" cm="1">
        <f t="array" ref="F74">_xlfn.IFS(D74 &gt;=5000, "A Kunde", D74 &gt;= 10000, "B Kunde", TRUE, "C Kunde")</f>
        <v>A Kunde</v>
      </c>
    </row>
    <row r="75" spans="1:6" x14ac:dyDescent="0.3">
      <c r="A75" t="s">
        <v>130</v>
      </c>
      <c r="B75" t="s">
        <v>116</v>
      </c>
      <c r="C75">
        <v>2023</v>
      </c>
      <c r="D75" s="4">
        <v>2847.39</v>
      </c>
      <c r="E75" s="26">
        <v>45187</v>
      </c>
      <c r="F75" s="5" t="str" cm="1">
        <f t="array" ref="F75">_xlfn.IFS(D75 &gt;=5000, "A Kunde", D75 &gt;= 10000, "B Kunde", TRUE, "C Kunde")</f>
        <v>C Kunde</v>
      </c>
    </row>
    <row r="76" spans="1:6" x14ac:dyDescent="0.3">
      <c r="A76" t="s">
        <v>127</v>
      </c>
      <c r="B76" t="s">
        <v>128</v>
      </c>
      <c r="C76">
        <v>2023</v>
      </c>
      <c r="D76" s="4">
        <v>8694.11</v>
      </c>
      <c r="E76" s="26">
        <v>45283</v>
      </c>
      <c r="F76" s="5" t="str" cm="1">
        <f t="array" ref="F76">_xlfn.IFS(D76 &gt;=5000, "A Kunde", D76 &gt;= 10000, "B Kunde", TRUE, "C Kunde")</f>
        <v>A Kunde</v>
      </c>
    </row>
    <row r="77" spans="1:6" x14ac:dyDescent="0.3">
      <c r="A77" t="s">
        <v>149</v>
      </c>
      <c r="B77" t="s">
        <v>122</v>
      </c>
      <c r="C77">
        <v>2025</v>
      </c>
      <c r="D77" s="4">
        <v>7761.53</v>
      </c>
      <c r="E77" s="26">
        <v>45758</v>
      </c>
      <c r="F77" s="5" t="str" cm="1">
        <f t="array" ref="F77">_xlfn.IFS(D77 &gt;=5000, "A Kunde", D77 &gt;= 10000, "B Kunde", TRUE, "C Kunde")</f>
        <v>A Kunde</v>
      </c>
    </row>
    <row r="78" spans="1:6" x14ac:dyDescent="0.3">
      <c r="A78" t="s">
        <v>150</v>
      </c>
      <c r="B78" t="s">
        <v>116</v>
      </c>
      <c r="C78">
        <v>2024</v>
      </c>
      <c r="D78" s="4">
        <v>4159.41</v>
      </c>
      <c r="E78" s="26">
        <v>45549</v>
      </c>
      <c r="F78" s="5" t="str" cm="1">
        <f t="array" ref="F78">_xlfn.IFS(D78 &gt;=5000, "A Kunde", D78 &gt;= 10000, "B Kunde", TRUE, "C Kunde")</f>
        <v>C Kunde</v>
      </c>
    </row>
    <row r="79" spans="1:6" x14ac:dyDescent="0.3">
      <c r="A79" t="s">
        <v>144</v>
      </c>
      <c r="B79" t="s">
        <v>116</v>
      </c>
      <c r="C79">
        <v>2024</v>
      </c>
      <c r="D79" s="4">
        <v>6616.84</v>
      </c>
      <c r="E79" s="26">
        <v>45586</v>
      </c>
      <c r="F79" s="5" t="str" cm="1">
        <f t="array" ref="F79">_xlfn.IFS(D79 &gt;=5000, "A Kunde", D79 &gt;= 10000, "B Kunde", TRUE, "C Kunde")</f>
        <v>A Kunde</v>
      </c>
    </row>
    <row r="80" spans="1:6" x14ac:dyDescent="0.3">
      <c r="A80" t="s">
        <v>151</v>
      </c>
      <c r="B80" t="s">
        <v>120</v>
      </c>
      <c r="C80">
        <v>2024</v>
      </c>
      <c r="D80" s="4">
        <v>7254.2</v>
      </c>
      <c r="E80" s="26">
        <v>45364</v>
      </c>
      <c r="F80" s="5" t="str" cm="1">
        <f t="array" ref="F80">_xlfn.IFS(D80 &gt;=5000, "A Kunde", D80 &gt;= 10000, "B Kunde", TRUE, "C Kunde")</f>
        <v>A Kunde</v>
      </c>
    </row>
    <row r="81" spans="1:6" x14ac:dyDescent="0.3">
      <c r="A81" t="s">
        <v>152</v>
      </c>
      <c r="B81" t="s">
        <v>116</v>
      </c>
      <c r="C81">
        <v>2023</v>
      </c>
      <c r="D81" s="4">
        <v>4116.25</v>
      </c>
      <c r="E81" s="26">
        <v>45100</v>
      </c>
      <c r="F81" s="5" t="str" cm="1">
        <f t="array" ref="F81">_xlfn.IFS(D81 &gt;=5000, "A Kunde", D81 &gt;= 10000, "B Kunde", TRUE, "C Kunde")</f>
        <v>C Kunde</v>
      </c>
    </row>
    <row r="82" spans="1:6" x14ac:dyDescent="0.3">
      <c r="A82" t="s">
        <v>153</v>
      </c>
      <c r="B82" t="s">
        <v>122</v>
      </c>
      <c r="C82">
        <v>2024</v>
      </c>
      <c r="D82" s="4">
        <v>1488.74</v>
      </c>
      <c r="E82" s="26">
        <v>45613</v>
      </c>
      <c r="F82" s="5" t="str" cm="1">
        <f t="array" ref="F82">_xlfn.IFS(D82 &gt;=5000, "A Kunde", D82 &gt;= 10000, "B Kunde", TRUE, "C Kunde")</f>
        <v>C Kunde</v>
      </c>
    </row>
    <row r="83" spans="1:6" x14ac:dyDescent="0.3">
      <c r="A83" t="s">
        <v>125</v>
      </c>
      <c r="B83" t="s">
        <v>122</v>
      </c>
      <c r="C83">
        <v>2024</v>
      </c>
      <c r="D83" s="4">
        <v>3300.04</v>
      </c>
      <c r="E83" s="26">
        <v>45562</v>
      </c>
      <c r="F83" s="5" t="str" cm="1">
        <f t="array" ref="F83">_xlfn.IFS(D83 &gt;=5000, "A Kunde", D83 &gt;= 10000, "B Kunde", TRUE, "C Kunde")</f>
        <v>C Kunde</v>
      </c>
    </row>
    <row r="84" spans="1:6" x14ac:dyDescent="0.3">
      <c r="A84" t="s">
        <v>118</v>
      </c>
      <c r="B84" t="s">
        <v>116</v>
      </c>
      <c r="C84">
        <v>2023</v>
      </c>
      <c r="D84" s="4">
        <v>537.07000000000005</v>
      </c>
      <c r="E84" s="26">
        <v>45228</v>
      </c>
      <c r="F84" s="5" t="str" cm="1">
        <f t="array" ref="F84">_xlfn.IFS(D84 &gt;=5000, "A Kunde", D84 &gt;= 10000, "B Kunde", TRUE, "C Kunde")</f>
        <v>C Kunde</v>
      </c>
    </row>
    <row r="85" spans="1:6" x14ac:dyDescent="0.3">
      <c r="A85" t="s">
        <v>125</v>
      </c>
      <c r="B85" t="s">
        <v>122</v>
      </c>
      <c r="C85">
        <v>2025</v>
      </c>
      <c r="D85" s="4">
        <v>8635.58</v>
      </c>
      <c r="E85" s="26">
        <v>45900</v>
      </c>
      <c r="F85" s="5" t="str" cm="1">
        <f t="array" ref="F85">_xlfn.IFS(D85 &gt;=5000, "A Kunde", D85 &gt;= 10000, "B Kunde", TRUE, "C Kunde")</f>
        <v>A Kunde</v>
      </c>
    </row>
    <row r="86" spans="1:6" x14ac:dyDescent="0.3">
      <c r="A86" t="s">
        <v>121</v>
      </c>
      <c r="B86" t="s">
        <v>122</v>
      </c>
      <c r="C86">
        <v>2025</v>
      </c>
      <c r="D86" s="4">
        <v>5919.29</v>
      </c>
      <c r="E86" s="26">
        <v>45859</v>
      </c>
      <c r="F86" s="5" t="str" cm="1">
        <f t="array" ref="F86">_xlfn.IFS(D86 &gt;=5000, "A Kunde", D86 &gt;= 10000, "B Kunde", TRUE, "C Kunde")</f>
        <v>A Kunde</v>
      </c>
    </row>
    <row r="87" spans="1:6" x14ac:dyDescent="0.3">
      <c r="A87" t="s">
        <v>133</v>
      </c>
      <c r="B87" t="s">
        <v>128</v>
      </c>
      <c r="C87">
        <v>2024</v>
      </c>
      <c r="D87" s="4">
        <v>10113.17</v>
      </c>
      <c r="E87" s="26">
        <v>45325</v>
      </c>
      <c r="F87" s="5" t="str" cm="1">
        <f t="array" ref="F87">_xlfn.IFS(D87 &gt;=5000, "A Kunde", D87 &gt;= 10000, "B Kunde", TRUE, "C Kunde")</f>
        <v>A Kunde</v>
      </c>
    </row>
    <row r="88" spans="1:6" x14ac:dyDescent="0.3">
      <c r="A88" t="s">
        <v>127</v>
      </c>
      <c r="B88" t="s">
        <v>128</v>
      </c>
      <c r="C88">
        <v>2025</v>
      </c>
      <c r="D88" s="4">
        <v>5715.21</v>
      </c>
      <c r="E88" s="26">
        <v>45939</v>
      </c>
      <c r="F88" s="5" t="str" cm="1">
        <f t="array" ref="F88">_xlfn.IFS(D88 &gt;=5000, "A Kunde", D88 &gt;= 10000, "B Kunde", TRUE, "C Kunde")</f>
        <v>A Kunde</v>
      </c>
    </row>
    <row r="89" spans="1:6" x14ac:dyDescent="0.3">
      <c r="A89" t="s">
        <v>146</v>
      </c>
      <c r="B89" t="s">
        <v>128</v>
      </c>
      <c r="C89">
        <v>2023</v>
      </c>
      <c r="D89" s="4">
        <v>12518.71</v>
      </c>
      <c r="E89" s="26">
        <v>44938</v>
      </c>
      <c r="F89" s="5" t="str" cm="1">
        <f t="array" ref="F89">_xlfn.IFS(D89 &gt;=5000, "A Kunde", D89 &gt;= 10000, "B Kunde", TRUE, "C Kunde")</f>
        <v>A Kunde</v>
      </c>
    </row>
    <row r="90" spans="1:6" x14ac:dyDescent="0.3">
      <c r="A90" t="s">
        <v>142</v>
      </c>
      <c r="B90" t="s">
        <v>120</v>
      </c>
      <c r="C90">
        <v>2025</v>
      </c>
      <c r="D90" s="4">
        <v>3220.01</v>
      </c>
      <c r="E90" s="26">
        <v>45797</v>
      </c>
      <c r="F90" s="5" t="str" cm="1">
        <f t="array" ref="F90">_xlfn.IFS(D90 &gt;=5000, "A Kunde", D90 &gt;= 10000, "B Kunde", TRUE, "C Kunde")</f>
        <v>C Kunde</v>
      </c>
    </row>
    <row r="91" spans="1:6" x14ac:dyDescent="0.3">
      <c r="A91" t="s">
        <v>141</v>
      </c>
      <c r="B91" t="s">
        <v>116</v>
      </c>
      <c r="C91">
        <v>2025</v>
      </c>
      <c r="D91" s="4">
        <v>893.01</v>
      </c>
      <c r="E91" s="26">
        <v>45878</v>
      </c>
      <c r="F91" s="5" t="str" cm="1">
        <f t="array" ref="F91">_xlfn.IFS(D91 &gt;=5000, "A Kunde", D91 &gt;= 10000, "B Kunde", TRUE, "C Kunde")</f>
        <v>C Kunde</v>
      </c>
    </row>
    <row r="92" spans="1:6" x14ac:dyDescent="0.3">
      <c r="A92" t="s">
        <v>125</v>
      </c>
      <c r="B92" t="s">
        <v>122</v>
      </c>
      <c r="C92">
        <v>2023</v>
      </c>
      <c r="D92" s="4">
        <v>6499.17</v>
      </c>
      <c r="E92" s="26">
        <v>45175</v>
      </c>
      <c r="F92" s="5" t="str" cm="1">
        <f t="array" ref="F92">_xlfn.IFS(D92 &gt;=5000, "A Kunde", D92 &gt;= 10000, "B Kunde", TRUE, "C Kunde")</f>
        <v>A Kunde</v>
      </c>
    </row>
    <row r="93" spans="1:6" x14ac:dyDescent="0.3">
      <c r="A93" t="s">
        <v>129</v>
      </c>
      <c r="B93" t="s">
        <v>120</v>
      </c>
      <c r="C93">
        <v>2025</v>
      </c>
      <c r="D93" s="4">
        <v>13832.92</v>
      </c>
      <c r="E93" s="26">
        <v>46014</v>
      </c>
      <c r="F93" s="5" t="str" cm="1">
        <f t="array" ref="F93">_xlfn.IFS(D93 &gt;=5000, "A Kunde", D93 &gt;= 10000, "B Kunde", TRUE, "C Kunde")</f>
        <v>A Kunde</v>
      </c>
    </row>
    <row r="94" spans="1:6" x14ac:dyDescent="0.3">
      <c r="A94" t="s">
        <v>143</v>
      </c>
      <c r="B94" t="s">
        <v>122</v>
      </c>
      <c r="C94">
        <v>2024</v>
      </c>
      <c r="D94" s="4">
        <v>13310.55</v>
      </c>
      <c r="E94" s="26">
        <v>45576</v>
      </c>
      <c r="F94" s="5" t="str" cm="1">
        <f t="array" ref="F94">_xlfn.IFS(D94 &gt;=5000, "A Kunde", D94 &gt;= 10000, "B Kunde", TRUE, "C Kunde")</f>
        <v>A Kunde</v>
      </c>
    </row>
    <row r="95" spans="1:6" x14ac:dyDescent="0.3">
      <c r="A95" t="s">
        <v>151</v>
      </c>
      <c r="B95" t="s">
        <v>120</v>
      </c>
      <c r="C95">
        <v>2025</v>
      </c>
      <c r="D95" s="4">
        <v>6089.02</v>
      </c>
      <c r="E95" s="26">
        <v>45960</v>
      </c>
      <c r="F95" s="5" t="str" cm="1">
        <f t="array" ref="F95">_xlfn.IFS(D95 &gt;=5000, "A Kunde", D95 &gt;= 10000, "B Kunde", TRUE, "C Kunde")</f>
        <v>A Kunde</v>
      </c>
    </row>
    <row r="96" spans="1:6" x14ac:dyDescent="0.3">
      <c r="A96" t="s">
        <v>123</v>
      </c>
      <c r="B96" t="s">
        <v>120</v>
      </c>
      <c r="C96">
        <v>2025</v>
      </c>
      <c r="D96" s="4">
        <v>12581.47</v>
      </c>
      <c r="E96" s="26">
        <v>45840</v>
      </c>
      <c r="F96" s="5" t="str" cm="1">
        <f t="array" ref="F96">_xlfn.IFS(D96 &gt;=5000, "A Kunde", D96 &gt;= 10000, "B Kunde", TRUE, "C Kunde")</f>
        <v>A Kunde</v>
      </c>
    </row>
    <row r="97" spans="1:6" x14ac:dyDescent="0.3">
      <c r="A97" t="s">
        <v>126</v>
      </c>
      <c r="B97" t="s">
        <v>116</v>
      </c>
      <c r="C97">
        <v>2025</v>
      </c>
      <c r="D97" s="4">
        <v>3776.84</v>
      </c>
      <c r="E97" s="26">
        <v>45848</v>
      </c>
      <c r="F97" s="5" t="str" cm="1">
        <f t="array" ref="F97">_xlfn.IFS(D97 &gt;=5000, "A Kunde", D97 &gt;= 10000, "B Kunde", TRUE, "C Kunde")</f>
        <v>C Kunde</v>
      </c>
    </row>
    <row r="98" spans="1:6" x14ac:dyDescent="0.3">
      <c r="A98" t="s">
        <v>125</v>
      </c>
      <c r="B98" t="s">
        <v>122</v>
      </c>
      <c r="C98">
        <v>2024</v>
      </c>
      <c r="D98" s="4">
        <v>10768.23</v>
      </c>
      <c r="E98" s="26">
        <v>45494</v>
      </c>
      <c r="F98" s="5" t="str" cm="1">
        <f t="array" ref="F98">_xlfn.IFS(D98 &gt;=5000, "A Kunde", D98 &gt;= 10000, "B Kunde", TRUE, "C Kunde")</f>
        <v>A Kunde</v>
      </c>
    </row>
    <row r="99" spans="1:6" x14ac:dyDescent="0.3">
      <c r="A99" t="s">
        <v>141</v>
      </c>
      <c r="B99" t="s">
        <v>116</v>
      </c>
      <c r="C99">
        <v>2025</v>
      </c>
      <c r="D99" s="4">
        <v>8849.1299999999992</v>
      </c>
      <c r="E99" s="26">
        <v>45919</v>
      </c>
      <c r="F99" s="5" t="str" cm="1">
        <f t="array" ref="F99">_xlfn.IFS(D99 &gt;=5000, "A Kunde", D99 &gt;= 10000, "B Kunde", TRUE, "C Kunde")</f>
        <v>A Kunde</v>
      </c>
    </row>
    <row r="100" spans="1:6" x14ac:dyDescent="0.3">
      <c r="A100" t="s">
        <v>154</v>
      </c>
      <c r="B100" t="s">
        <v>128</v>
      </c>
      <c r="C100">
        <v>2025</v>
      </c>
      <c r="D100" s="4">
        <v>1269.27</v>
      </c>
      <c r="E100" s="26">
        <v>45827</v>
      </c>
      <c r="F100" s="5" t="str" cm="1">
        <f t="array" ref="F100">_xlfn.IFS(D100 &gt;=5000, "A Kunde", D100 &gt;= 10000, "B Kunde", TRUE, "C Kunde")</f>
        <v>C Kunde</v>
      </c>
    </row>
    <row r="101" spans="1:6" x14ac:dyDescent="0.3">
      <c r="A101" t="s">
        <v>130</v>
      </c>
      <c r="B101" t="s">
        <v>116</v>
      </c>
      <c r="C101">
        <v>2024</v>
      </c>
      <c r="D101" s="4">
        <v>3949.67</v>
      </c>
      <c r="E101" s="26">
        <v>45407</v>
      </c>
      <c r="F101" s="5" t="str" cm="1">
        <f t="array" ref="F101">_xlfn.IFS(D101 &gt;=5000, "A Kunde", D101 &gt;= 10000, "B Kunde", TRUE, "C Kunde")</f>
        <v>C Kunde</v>
      </c>
    </row>
    <row r="102" spans="1:6" x14ac:dyDescent="0.3">
      <c r="A102" t="s">
        <v>136</v>
      </c>
      <c r="B102" t="s">
        <v>120</v>
      </c>
      <c r="C102">
        <v>2023</v>
      </c>
      <c r="D102" s="4">
        <v>2109.56</v>
      </c>
      <c r="E102" s="26">
        <v>45092</v>
      </c>
      <c r="F102" s="5" t="str" cm="1">
        <f t="array" ref="F102">_xlfn.IFS(D102 &gt;=5000, "A Kunde", D102 &gt;= 10000, "B Kunde", TRUE, "C Kunde")</f>
        <v>C Kunde</v>
      </c>
    </row>
    <row r="103" spans="1:6" x14ac:dyDescent="0.3">
      <c r="A103" t="s">
        <v>147</v>
      </c>
      <c r="B103" t="s">
        <v>120</v>
      </c>
      <c r="C103">
        <v>2025</v>
      </c>
      <c r="D103" s="4">
        <v>9776.51</v>
      </c>
      <c r="E103" s="26">
        <v>45711</v>
      </c>
      <c r="F103" s="5" t="str" cm="1">
        <f t="array" ref="F103">_xlfn.IFS(D103 &gt;=5000, "A Kunde", D103 &gt;= 10000, "B Kunde", TRUE, "C Kunde")</f>
        <v>A Kunde</v>
      </c>
    </row>
    <row r="104" spans="1:6" x14ac:dyDescent="0.3">
      <c r="A104" t="s">
        <v>138</v>
      </c>
      <c r="B104" t="s">
        <v>122</v>
      </c>
      <c r="C104">
        <v>2023</v>
      </c>
      <c r="D104" s="4">
        <v>5925.18</v>
      </c>
      <c r="E104" s="26">
        <v>45058</v>
      </c>
      <c r="F104" s="5" t="str" cm="1">
        <f t="array" ref="F104">_xlfn.IFS(D104 &gt;=5000, "A Kunde", D104 &gt;= 10000, "B Kunde", TRUE, "C Kunde")</f>
        <v>A Kunde</v>
      </c>
    </row>
    <row r="105" spans="1:6" x14ac:dyDescent="0.3">
      <c r="A105" t="s">
        <v>117</v>
      </c>
      <c r="B105" t="s">
        <v>116</v>
      </c>
      <c r="C105">
        <v>2025</v>
      </c>
      <c r="D105" s="4">
        <v>5937.68</v>
      </c>
      <c r="E105" s="26">
        <v>45881</v>
      </c>
      <c r="F105" s="5" t="str" cm="1">
        <f t="array" ref="F105">_xlfn.IFS(D105 &gt;=5000, "A Kunde", D105 &gt;= 10000, "B Kunde", TRUE, "C Kunde")</f>
        <v>A Kunde</v>
      </c>
    </row>
    <row r="106" spans="1:6" x14ac:dyDescent="0.3">
      <c r="A106" t="s">
        <v>138</v>
      </c>
      <c r="B106" t="s">
        <v>122</v>
      </c>
      <c r="C106">
        <v>2025</v>
      </c>
      <c r="D106" s="4">
        <v>5574.78</v>
      </c>
      <c r="E106" s="26">
        <v>45787</v>
      </c>
      <c r="F106" s="5" t="str" cm="1">
        <f t="array" ref="F106">_xlfn.IFS(D106 &gt;=5000, "A Kunde", D106 &gt;= 10000, "B Kunde", TRUE, "C Kunde")</f>
        <v>A Kunde</v>
      </c>
    </row>
    <row r="107" spans="1:6" x14ac:dyDescent="0.3">
      <c r="A107" t="s">
        <v>131</v>
      </c>
      <c r="B107" t="s">
        <v>122</v>
      </c>
      <c r="C107">
        <v>2023</v>
      </c>
      <c r="D107" s="4">
        <v>12022.9</v>
      </c>
      <c r="E107" s="26">
        <v>44967</v>
      </c>
      <c r="F107" s="5" t="str" cm="1">
        <f t="array" ref="F107">_xlfn.IFS(D107 &gt;=5000, "A Kunde", D107 &gt;= 10000, "B Kunde", TRUE, "C Kunde")</f>
        <v>A Kunde</v>
      </c>
    </row>
    <row r="108" spans="1:6" x14ac:dyDescent="0.3">
      <c r="A108" t="s">
        <v>133</v>
      </c>
      <c r="B108" t="s">
        <v>128</v>
      </c>
      <c r="C108">
        <v>2025</v>
      </c>
      <c r="D108" s="4">
        <v>6782.32</v>
      </c>
      <c r="E108" s="26">
        <v>45706</v>
      </c>
      <c r="F108" s="5" t="str" cm="1">
        <f t="array" ref="F108">_xlfn.IFS(D108 &gt;=5000, "A Kunde", D108 &gt;= 10000, "B Kunde", TRUE, "C Kunde")</f>
        <v>A Kunde</v>
      </c>
    </row>
    <row r="109" spans="1:6" x14ac:dyDescent="0.3">
      <c r="A109" t="s">
        <v>139</v>
      </c>
      <c r="B109" t="s">
        <v>120</v>
      </c>
      <c r="C109">
        <v>2024</v>
      </c>
      <c r="D109" s="4">
        <v>10597.96</v>
      </c>
      <c r="E109" s="26">
        <v>45538</v>
      </c>
      <c r="F109" s="5" t="str" cm="1">
        <f t="array" ref="F109">_xlfn.IFS(D109 &gt;=5000, "A Kunde", D109 &gt;= 10000, "B Kunde", TRUE, "C Kunde")</f>
        <v>A Kunde</v>
      </c>
    </row>
    <row r="110" spans="1:6" x14ac:dyDescent="0.3">
      <c r="A110" t="s">
        <v>148</v>
      </c>
      <c r="B110" t="s">
        <v>120</v>
      </c>
      <c r="C110">
        <v>2024</v>
      </c>
      <c r="D110" s="4">
        <v>6937.57</v>
      </c>
      <c r="E110" s="26">
        <v>45378</v>
      </c>
      <c r="F110" s="5" t="str" cm="1">
        <f t="array" ref="F110">_xlfn.IFS(D110 &gt;=5000, "A Kunde", D110 &gt;= 10000, "B Kunde", TRUE, "C Kunde")</f>
        <v>A Kunde</v>
      </c>
    </row>
    <row r="111" spans="1:6" x14ac:dyDescent="0.3">
      <c r="A111" t="s">
        <v>154</v>
      </c>
      <c r="B111" t="s">
        <v>128</v>
      </c>
      <c r="C111">
        <v>2025</v>
      </c>
      <c r="D111" s="4">
        <v>6901.86</v>
      </c>
      <c r="E111" s="26">
        <v>45819</v>
      </c>
      <c r="F111" s="5" t="str" cm="1">
        <f t="array" ref="F111">_xlfn.IFS(D111 &gt;=5000, "A Kunde", D111 &gt;= 10000, "B Kunde", TRUE, "C Kunde")</f>
        <v>A Kunde</v>
      </c>
    </row>
    <row r="112" spans="1:6" x14ac:dyDescent="0.3">
      <c r="A112" t="s">
        <v>127</v>
      </c>
      <c r="B112" t="s">
        <v>128</v>
      </c>
      <c r="C112">
        <v>2024</v>
      </c>
      <c r="D112" s="4">
        <v>9430.4599999999991</v>
      </c>
      <c r="E112" s="26">
        <v>45615</v>
      </c>
      <c r="F112" s="5" t="str" cm="1">
        <f t="array" ref="F112">_xlfn.IFS(D112 &gt;=5000, "A Kunde", D112 &gt;= 10000, "B Kunde", TRUE, "C Kunde")</f>
        <v>A Kunde</v>
      </c>
    </row>
    <row r="113" spans="1:6" x14ac:dyDescent="0.3">
      <c r="A113" t="s">
        <v>155</v>
      </c>
      <c r="B113" t="s">
        <v>128</v>
      </c>
      <c r="C113">
        <v>2023</v>
      </c>
      <c r="D113" s="4">
        <v>11798.98</v>
      </c>
      <c r="E113" s="26">
        <v>45265</v>
      </c>
      <c r="F113" s="5" t="str" cm="1">
        <f t="array" ref="F113">_xlfn.IFS(D113 &gt;=5000, "A Kunde", D113 &gt;= 10000, "B Kunde", TRUE, "C Kunde")</f>
        <v>A Kunde</v>
      </c>
    </row>
    <row r="114" spans="1:6" x14ac:dyDescent="0.3">
      <c r="A114" t="s">
        <v>137</v>
      </c>
      <c r="B114" t="s">
        <v>128</v>
      </c>
      <c r="C114">
        <v>2025</v>
      </c>
      <c r="D114" s="4">
        <v>572.14</v>
      </c>
      <c r="E114" s="26">
        <v>46020</v>
      </c>
      <c r="F114" s="5" t="str" cm="1">
        <f t="array" ref="F114">_xlfn.IFS(D114 &gt;=5000, "A Kunde", D114 &gt;= 10000, "B Kunde", TRUE, "C Kunde")</f>
        <v>C Kunde</v>
      </c>
    </row>
    <row r="115" spans="1:6" x14ac:dyDescent="0.3">
      <c r="A115" t="s">
        <v>155</v>
      </c>
      <c r="B115" t="s">
        <v>128</v>
      </c>
      <c r="C115">
        <v>2023</v>
      </c>
      <c r="D115" s="4">
        <v>1358.47</v>
      </c>
      <c r="E115" s="26">
        <v>44982</v>
      </c>
      <c r="F115" s="5" t="str" cm="1">
        <f t="array" ref="F115">_xlfn.IFS(D115 &gt;=5000, "A Kunde", D115 &gt;= 10000, "B Kunde", TRUE, "C Kunde")</f>
        <v>C Kunde</v>
      </c>
    </row>
    <row r="116" spans="1:6" x14ac:dyDescent="0.3">
      <c r="A116" t="s">
        <v>144</v>
      </c>
      <c r="B116" t="s">
        <v>116</v>
      </c>
      <c r="C116">
        <v>2023</v>
      </c>
      <c r="D116" s="4">
        <v>12162.55</v>
      </c>
      <c r="E116" s="26">
        <v>45204</v>
      </c>
      <c r="F116" s="5" t="str" cm="1">
        <f t="array" ref="F116">_xlfn.IFS(D116 &gt;=5000, "A Kunde", D116 &gt;= 10000, "B Kunde", TRUE, "C Kunde")</f>
        <v>A Kunde</v>
      </c>
    </row>
    <row r="117" spans="1:6" x14ac:dyDescent="0.3">
      <c r="A117" t="s">
        <v>119</v>
      </c>
      <c r="B117" t="s">
        <v>120</v>
      </c>
      <c r="C117">
        <v>2023</v>
      </c>
      <c r="D117" s="4">
        <v>3790.16</v>
      </c>
      <c r="E117" s="26">
        <v>45029</v>
      </c>
      <c r="F117" s="5" t="str" cm="1">
        <f t="array" ref="F117">_xlfn.IFS(D117 &gt;=5000, "A Kunde", D117 &gt;= 10000, "B Kunde", TRUE, "C Kunde")</f>
        <v>C Kunde</v>
      </c>
    </row>
    <row r="118" spans="1:6" x14ac:dyDescent="0.3">
      <c r="A118" t="s">
        <v>136</v>
      </c>
      <c r="B118" t="s">
        <v>120</v>
      </c>
      <c r="C118">
        <v>2024</v>
      </c>
      <c r="D118" s="4">
        <v>6474.85</v>
      </c>
      <c r="E118" s="26">
        <v>45360</v>
      </c>
      <c r="F118" s="5" t="str" cm="1">
        <f t="array" ref="F118">_xlfn.IFS(D118 &gt;=5000, "A Kunde", D118 &gt;= 10000, "B Kunde", TRUE, "C Kunde")</f>
        <v>A Kunde</v>
      </c>
    </row>
    <row r="119" spans="1:6" x14ac:dyDescent="0.3">
      <c r="A119" t="s">
        <v>117</v>
      </c>
      <c r="B119" t="s">
        <v>116</v>
      </c>
      <c r="C119">
        <v>2025</v>
      </c>
      <c r="D119" s="4">
        <v>4039.94</v>
      </c>
      <c r="E119" s="26">
        <v>45703</v>
      </c>
      <c r="F119" s="5" t="str" cm="1">
        <f t="array" ref="F119">_xlfn.IFS(D119 &gt;=5000, "A Kunde", D119 &gt;= 10000, "B Kunde", TRUE, "C Kunde")</f>
        <v>C Kunde</v>
      </c>
    </row>
    <row r="120" spans="1:6" x14ac:dyDescent="0.3">
      <c r="A120" t="s">
        <v>148</v>
      </c>
      <c r="B120" t="s">
        <v>120</v>
      </c>
      <c r="C120">
        <v>2024</v>
      </c>
      <c r="D120" s="4">
        <v>11721.77</v>
      </c>
      <c r="E120" s="26">
        <v>45443</v>
      </c>
      <c r="F120" s="5" t="str" cm="1">
        <f t="array" ref="F120">_xlfn.IFS(D120 &gt;=5000, "A Kunde", D120 &gt;= 10000, "B Kunde", TRUE, "C Kunde")</f>
        <v>A Kunde</v>
      </c>
    </row>
    <row r="121" spans="1:6" x14ac:dyDescent="0.3">
      <c r="A121" t="s">
        <v>126</v>
      </c>
      <c r="B121" t="s">
        <v>116</v>
      </c>
      <c r="C121">
        <v>2023</v>
      </c>
      <c r="D121" s="4">
        <v>10536.53</v>
      </c>
      <c r="E121" s="26">
        <v>44966</v>
      </c>
      <c r="F121" s="5" t="str" cm="1">
        <f t="array" ref="F121">_xlfn.IFS(D121 &gt;=5000, "A Kunde", D121 &gt;= 10000, "B Kunde", TRUE, "C Kunde")</f>
        <v>A Kunde</v>
      </c>
    </row>
    <row r="122" spans="1:6" x14ac:dyDescent="0.3">
      <c r="A122" t="s">
        <v>115</v>
      </c>
      <c r="B122" t="s">
        <v>116</v>
      </c>
      <c r="C122">
        <v>2024</v>
      </c>
      <c r="D122" s="4">
        <v>3294.27</v>
      </c>
      <c r="E122" s="26">
        <v>45643</v>
      </c>
      <c r="F122" s="5" t="str" cm="1">
        <f t="array" ref="F122">_xlfn.IFS(D122 &gt;=5000, "A Kunde", D122 &gt;= 10000, "B Kunde", TRUE, "C Kunde")</f>
        <v>C Kunde</v>
      </c>
    </row>
    <row r="123" spans="1:6" x14ac:dyDescent="0.3">
      <c r="A123" t="s">
        <v>121</v>
      </c>
      <c r="B123" t="s">
        <v>122</v>
      </c>
      <c r="C123">
        <v>2023</v>
      </c>
      <c r="D123" s="4">
        <v>10608.42</v>
      </c>
      <c r="E123" s="26">
        <v>45009</v>
      </c>
      <c r="F123" s="5" t="str" cm="1">
        <f t="array" ref="F123">_xlfn.IFS(D123 &gt;=5000, "A Kunde", D123 &gt;= 10000, "B Kunde", TRUE, "C Kunde")</f>
        <v>A Kunde</v>
      </c>
    </row>
    <row r="124" spans="1:6" x14ac:dyDescent="0.3">
      <c r="A124" t="s">
        <v>125</v>
      </c>
      <c r="B124" t="s">
        <v>122</v>
      </c>
      <c r="C124">
        <v>2024</v>
      </c>
      <c r="D124" s="4">
        <v>11781.36</v>
      </c>
      <c r="E124" s="26">
        <v>45335</v>
      </c>
      <c r="F124" s="5" t="str" cm="1">
        <f t="array" ref="F124">_xlfn.IFS(D124 &gt;=5000, "A Kunde", D124 &gt;= 10000, "B Kunde", TRUE, "C Kunde")</f>
        <v>A Kunde</v>
      </c>
    </row>
    <row r="125" spans="1:6" x14ac:dyDescent="0.3">
      <c r="A125" t="s">
        <v>153</v>
      </c>
      <c r="B125" t="s">
        <v>122</v>
      </c>
      <c r="C125">
        <v>2023</v>
      </c>
      <c r="D125" s="4">
        <v>3491.92</v>
      </c>
      <c r="E125" s="26">
        <v>45239</v>
      </c>
      <c r="F125" s="5" t="str" cm="1">
        <f t="array" ref="F125">_xlfn.IFS(D125 &gt;=5000, "A Kunde", D125 &gt;= 10000, "B Kunde", TRUE, "C Kunde")</f>
        <v>C Kunde</v>
      </c>
    </row>
    <row r="126" spans="1:6" x14ac:dyDescent="0.3">
      <c r="A126" t="s">
        <v>126</v>
      </c>
      <c r="B126" t="s">
        <v>116</v>
      </c>
      <c r="C126">
        <v>2023</v>
      </c>
      <c r="D126" s="4">
        <v>7982.78</v>
      </c>
      <c r="E126" s="26">
        <v>45161</v>
      </c>
      <c r="F126" s="5" t="str" cm="1">
        <f t="array" ref="F126">_xlfn.IFS(D126 &gt;=5000, "A Kunde", D126 &gt;= 10000, "B Kunde", TRUE, "C Kunde")</f>
        <v>A Kunde</v>
      </c>
    </row>
    <row r="127" spans="1:6" x14ac:dyDescent="0.3">
      <c r="A127" t="s">
        <v>138</v>
      </c>
      <c r="B127" t="s">
        <v>122</v>
      </c>
      <c r="C127">
        <v>2025</v>
      </c>
      <c r="D127" s="4">
        <v>9852.6200000000008</v>
      </c>
      <c r="E127" s="26">
        <v>45879</v>
      </c>
      <c r="F127" s="5" t="str" cm="1">
        <f t="array" ref="F127">_xlfn.IFS(D127 &gt;=5000, "A Kunde", D127 &gt;= 10000, "B Kunde", TRUE, "C Kunde")</f>
        <v>A Kunde</v>
      </c>
    </row>
    <row r="128" spans="1:6" x14ac:dyDescent="0.3">
      <c r="A128" t="s">
        <v>140</v>
      </c>
      <c r="B128" t="s">
        <v>128</v>
      </c>
      <c r="C128">
        <v>2023</v>
      </c>
      <c r="D128" s="4">
        <v>8561.32</v>
      </c>
      <c r="E128" s="26">
        <v>45270</v>
      </c>
      <c r="F128" s="5" t="str" cm="1">
        <f t="array" ref="F128">_xlfn.IFS(D128 &gt;=5000, "A Kunde", D128 &gt;= 10000, "B Kunde", TRUE, "C Kunde")</f>
        <v>A Kunde</v>
      </c>
    </row>
    <row r="129" spans="1:6" x14ac:dyDescent="0.3">
      <c r="A129" t="s">
        <v>145</v>
      </c>
      <c r="B129" t="s">
        <v>120</v>
      </c>
      <c r="C129">
        <v>2023</v>
      </c>
      <c r="D129" s="4">
        <v>13513.15</v>
      </c>
      <c r="E129" s="26">
        <v>45262</v>
      </c>
      <c r="F129" s="5" t="str" cm="1">
        <f t="array" ref="F129">_xlfn.IFS(D129 &gt;=5000, "A Kunde", D129 &gt;= 10000, "B Kunde", TRUE, "C Kunde")</f>
        <v>A Kunde</v>
      </c>
    </row>
    <row r="130" spans="1:6" x14ac:dyDescent="0.3">
      <c r="A130" t="s">
        <v>142</v>
      </c>
      <c r="B130" t="s">
        <v>120</v>
      </c>
      <c r="C130">
        <v>2023</v>
      </c>
      <c r="D130" s="4">
        <v>13018.64</v>
      </c>
      <c r="E130" s="26">
        <v>44979</v>
      </c>
      <c r="F130" s="5" t="str" cm="1">
        <f t="array" ref="F130">_xlfn.IFS(D130 &gt;=5000, "A Kunde", D130 &gt;= 10000, "B Kunde", TRUE, "C Kunde")</f>
        <v>A Kunde</v>
      </c>
    </row>
    <row r="131" spans="1:6" x14ac:dyDescent="0.3">
      <c r="A131" t="s">
        <v>133</v>
      </c>
      <c r="B131" t="s">
        <v>128</v>
      </c>
      <c r="C131">
        <v>2025</v>
      </c>
      <c r="D131" s="4">
        <v>5673.83</v>
      </c>
      <c r="E131" s="26">
        <v>45695</v>
      </c>
      <c r="F131" s="5" t="str" cm="1">
        <f t="array" ref="F131">_xlfn.IFS(D131 &gt;=5000, "A Kunde", D131 &gt;= 10000, "B Kunde", TRUE, "C Kunde")</f>
        <v>A Kunde</v>
      </c>
    </row>
    <row r="132" spans="1:6" x14ac:dyDescent="0.3">
      <c r="A132" t="s">
        <v>118</v>
      </c>
      <c r="B132" t="s">
        <v>116</v>
      </c>
      <c r="C132">
        <v>2023</v>
      </c>
      <c r="D132" s="4">
        <v>8370.9500000000007</v>
      </c>
      <c r="E132" s="26">
        <v>45082</v>
      </c>
      <c r="F132" s="5" t="str" cm="1">
        <f t="array" ref="F132">_xlfn.IFS(D132 &gt;=5000, "A Kunde", D132 &gt;= 10000, "B Kunde", TRUE, "C Kunde")</f>
        <v>A Kunde</v>
      </c>
    </row>
    <row r="133" spans="1:6" x14ac:dyDescent="0.3">
      <c r="A133" t="s">
        <v>125</v>
      </c>
      <c r="B133" t="s">
        <v>122</v>
      </c>
      <c r="C133">
        <v>2023</v>
      </c>
      <c r="D133" s="4">
        <v>9821.26</v>
      </c>
      <c r="E133" s="26">
        <v>45135</v>
      </c>
      <c r="F133" s="5" t="str" cm="1">
        <f t="array" ref="F133">_xlfn.IFS(D133 &gt;=5000, "A Kunde", D133 &gt;= 10000, "B Kunde", TRUE, "C Kunde")</f>
        <v>A Kunde</v>
      </c>
    </row>
    <row r="134" spans="1:6" x14ac:dyDescent="0.3">
      <c r="A134" t="s">
        <v>149</v>
      </c>
      <c r="B134" t="s">
        <v>122</v>
      </c>
      <c r="C134">
        <v>2023</v>
      </c>
      <c r="D134" s="4">
        <v>11187.94</v>
      </c>
      <c r="E134" s="26">
        <v>45174</v>
      </c>
      <c r="F134" s="5" t="str" cm="1">
        <f t="array" ref="F134">_xlfn.IFS(D134 &gt;=5000, "A Kunde", D134 &gt;= 10000, "B Kunde", TRUE, "C Kunde")</f>
        <v>A Kunde</v>
      </c>
    </row>
    <row r="135" spans="1:6" x14ac:dyDescent="0.3">
      <c r="A135" t="s">
        <v>133</v>
      </c>
      <c r="B135" t="s">
        <v>128</v>
      </c>
      <c r="C135">
        <v>2023</v>
      </c>
      <c r="D135" s="4">
        <v>4991.41</v>
      </c>
      <c r="E135" s="26">
        <v>45011</v>
      </c>
      <c r="F135" s="5" t="str" cm="1">
        <f t="array" ref="F135">_xlfn.IFS(D135 &gt;=5000, "A Kunde", D135 &gt;= 10000, "B Kunde", TRUE, "C Kunde")</f>
        <v>C Kunde</v>
      </c>
    </row>
    <row r="136" spans="1:6" x14ac:dyDescent="0.3">
      <c r="A136" t="s">
        <v>144</v>
      </c>
      <c r="B136" t="s">
        <v>116</v>
      </c>
      <c r="C136">
        <v>2025</v>
      </c>
      <c r="D136" s="4">
        <v>1151.5999999999999</v>
      </c>
      <c r="E136" s="26">
        <v>45685</v>
      </c>
      <c r="F136" s="5" t="str" cm="1">
        <f t="array" ref="F136">_xlfn.IFS(D136 &gt;=5000, "A Kunde", D136 &gt;= 10000, "B Kunde", TRUE, "C Kunde")</f>
        <v>C Kunde</v>
      </c>
    </row>
    <row r="137" spans="1:6" x14ac:dyDescent="0.3">
      <c r="A137" t="s">
        <v>117</v>
      </c>
      <c r="B137" t="s">
        <v>116</v>
      </c>
      <c r="C137">
        <v>2023</v>
      </c>
      <c r="D137" s="4">
        <v>11924.14</v>
      </c>
      <c r="E137" s="26">
        <v>44952</v>
      </c>
      <c r="F137" s="5" t="str" cm="1">
        <f t="array" ref="F137">_xlfn.IFS(D137 &gt;=5000, "A Kunde", D137 &gt;= 10000, "B Kunde", TRUE, "C Kunde")</f>
        <v>A Kunde</v>
      </c>
    </row>
    <row r="138" spans="1:6" x14ac:dyDescent="0.3">
      <c r="A138" t="s">
        <v>153</v>
      </c>
      <c r="B138" t="s">
        <v>122</v>
      </c>
      <c r="C138">
        <v>2024</v>
      </c>
      <c r="D138" s="4">
        <v>9776.93</v>
      </c>
      <c r="E138" s="26">
        <v>45511</v>
      </c>
      <c r="F138" s="5" t="str" cm="1">
        <f t="array" ref="F138">_xlfn.IFS(D138 &gt;=5000, "A Kunde", D138 &gt;= 10000, "B Kunde", TRUE, "C Kunde")</f>
        <v>A Kunde</v>
      </c>
    </row>
    <row r="139" spans="1:6" x14ac:dyDescent="0.3">
      <c r="A139" t="s">
        <v>140</v>
      </c>
      <c r="B139" t="s">
        <v>128</v>
      </c>
      <c r="C139">
        <v>2025</v>
      </c>
      <c r="D139" s="4">
        <v>9960.86</v>
      </c>
      <c r="E139" s="26">
        <v>45868</v>
      </c>
      <c r="F139" s="5" t="str" cm="1">
        <f t="array" ref="F139">_xlfn.IFS(D139 &gt;=5000, "A Kunde", D139 &gt;= 10000, "B Kunde", TRUE, "C Kunde")</f>
        <v>A Kunde</v>
      </c>
    </row>
    <row r="140" spans="1:6" x14ac:dyDescent="0.3">
      <c r="A140" t="s">
        <v>144</v>
      </c>
      <c r="B140" t="s">
        <v>116</v>
      </c>
      <c r="C140">
        <v>2023</v>
      </c>
      <c r="D140" s="4">
        <v>10326.379999999999</v>
      </c>
      <c r="E140" s="26">
        <v>45287</v>
      </c>
      <c r="F140" s="5" t="str" cm="1">
        <f t="array" ref="F140">_xlfn.IFS(D140 &gt;=5000, "A Kunde", D140 &gt;= 10000, "B Kunde", TRUE, "C Kunde")</f>
        <v>A Kunde</v>
      </c>
    </row>
    <row r="141" spans="1:6" x14ac:dyDescent="0.3">
      <c r="A141" t="s">
        <v>154</v>
      </c>
      <c r="B141" t="s">
        <v>128</v>
      </c>
      <c r="C141">
        <v>2025</v>
      </c>
      <c r="D141" s="4">
        <v>6615.26</v>
      </c>
      <c r="E141" s="26">
        <v>45917</v>
      </c>
      <c r="F141" s="5" t="str" cm="1">
        <f t="array" ref="F141">_xlfn.IFS(D141 &gt;=5000, "A Kunde", D141 &gt;= 10000, "B Kunde", TRUE, "C Kunde")</f>
        <v>A Kunde</v>
      </c>
    </row>
    <row r="142" spans="1:6" x14ac:dyDescent="0.3">
      <c r="A142" t="s">
        <v>131</v>
      </c>
      <c r="B142" t="s">
        <v>122</v>
      </c>
      <c r="C142">
        <v>2024</v>
      </c>
      <c r="D142" s="4">
        <v>4647.8</v>
      </c>
      <c r="E142" s="26">
        <v>45476</v>
      </c>
      <c r="F142" s="5" t="str" cm="1">
        <f t="array" ref="F142">_xlfn.IFS(D142 &gt;=5000, "A Kunde", D142 &gt;= 10000, "B Kunde", TRUE, "C Kunde")</f>
        <v>C Kunde</v>
      </c>
    </row>
    <row r="143" spans="1:6" x14ac:dyDescent="0.3">
      <c r="A143" t="s">
        <v>125</v>
      </c>
      <c r="B143" t="s">
        <v>122</v>
      </c>
      <c r="C143">
        <v>2023</v>
      </c>
      <c r="D143" s="4">
        <v>4049.21</v>
      </c>
      <c r="E143" s="26">
        <v>45104</v>
      </c>
      <c r="F143" s="5" t="str" cm="1">
        <f t="array" ref="F143">_xlfn.IFS(D143 &gt;=5000, "A Kunde", D143 &gt;= 10000, "B Kunde", TRUE, "C Kunde")</f>
        <v>C Kunde</v>
      </c>
    </row>
    <row r="144" spans="1:6" x14ac:dyDescent="0.3">
      <c r="A144" t="s">
        <v>151</v>
      </c>
      <c r="B144" t="s">
        <v>120</v>
      </c>
      <c r="C144">
        <v>2024</v>
      </c>
      <c r="D144" s="4">
        <v>10556.57</v>
      </c>
      <c r="E144" s="26">
        <v>45426</v>
      </c>
      <c r="F144" s="5" t="str" cm="1">
        <f t="array" ref="F144">_xlfn.IFS(D144 &gt;=5000, "A Kunde", D144 &gt;= 10000, "B Kunde", TRUE, "C Kunde")</f>
        <v>A Kunde</v>
      </c>
    </row>
    <row r="145" spans="1:6" x14ac:dyDescent="0.3">
      <c r="A145" t="s">
        <v>133</v>
      </c>
      <c r="B145" t="s">
        <v>128</v>
      </c>
      <c r="C145">
        <v>2025</v>
      </c>
      <c r="D145" s="4">
        <v>4842.2700000000004</v>
      </c>
      <c r="E145" s="26">
        <v>45703</v>
      </c>
      <c r="F145" s="5" t="str" cm="1">
        <f t="array" ref="F145">_xlfn.IFS(D145 &gt;=5000, "A Kunde", D145 &gt;= 10000, "B Kunde", TRUE, "C Kunde")</f>
        <v>C Kunde</v>
      </c>
    </row>
    <row r="146" spans="1:6" x14ac:dyDescent="0.3">
      <c r="A146" t="s">
        <v>156</v>
      </c>
      <c r="B146" t="s">
        <v>128</v>
      </c>
      <c r="C146">
        <v>2024</v>
      </c>
      <c r="D146" s="4">
        <v>2709.39</v>
      </c>
      <c r="E146" s="26">
        <v>45592</v>
      </c>
      <c r="F146" s="5" t="str" cm="1">
        <f t="array" ref="F146">_xlfn.IFS(D146 &gt;=5000, "A Kunde", D146 &gt;= 10000, "B Kunde", TRUE, "C Kunde")</f>
        <v>C Kunde</v>
      </c>
    </row>
    <row r="147" spans="1:6" x14ac:dyDescent="0.3">
      <c r="A147" t="s">
        <v>138</v>
      </c>
      <c r="B147" t="s">
        <v>122</v>
      </c>
      <c r="C147">
        <v>2024</v>
      </c>
      <c r="D147" s="4">
        <v>11210.09</v>
      </c>
      <c r="E147" s="26">
        <v>45653</v>
      </c>
      <c r="F147" s="5" t="str" cm="1">
        <f t="array" ref="F147">_xlfn.IFS(D147 &gt;=5000, "A Kunde", D147 &gt;= 10000, "B Kunde", TRUE, "C Kunde")</f>
        <v>A Kunde</v>
      </c>
    </row>
    <row r="148" spans="1:6" x14ac:dyDescent="0.3">
      <c r="A148" t="s">
        <v>117</v>
      </c>
      <c r="B148" t="s">
        <v>116</v>
      </c>
      <c r="C148">
        <v>2024</v>
      </c>
      <c r="D148" s="4">
        <v>12348.42</v>
      </c>
      <c r="E148" s="26">
        <v>45499</v>
      </c>
      <c r="F148" s="5" t="str" cm="1">
        <f t="array" ref="F148">_xlfn.IFS(D148 &gt;=5000, "A Kunde", D148 &gt;= 10000, "B Kunde", TRUE, "C Kunde")</f>
        <v>A Kunde</v>
      </c>
    </row>
    <row r="149" spans="1:6" x14ac:dyDescent="0.3">
      <c r="A149" t="s">
        <v>154</v>
      </c>
      <c r="B149" t="s">
        <v>128</v>
      </c>
      <c r="C149">
        <v>2023</v>
      </c>
      <c r="D149" s="4">
        <v>7329.46</v>
      </c>
      <c r="E149" s="26">
        <v>44947</v>
      </c>
      <c r="F149" s="5" t="str" cm="1">
        <f t="array" ref="F149">_xlfn.IFS(D149 &gt;=5000, "A Kunde", D149 &gt;= 10000, "B Kunde", TRUE, "C Kunde")</f>
        <v>A Kunde</v>
      </c>
    </row>
    <row r="150" spans="1:6" x14ac:dyDescent="0.3">
      <c r="A150" t="s">
        <v>118</v>
      </c>
      <c r="B150" t="s">
        <v>116</v>
      </c>
      <c r="C150">
        <v>2023</v>
      </c>
      <c r="D150" s="4">
        <v>3530.71</v>
      </c>
      <c r="E150" s="26">
        <v>45102</v>
      </c>
      <c r="F150" s="5" t="str" cm="1">
        <f t="array" ref="F150">_xlfn.IFS(D150 &gt;=5000, "A Kunde", D150 &gt;= 10000, "B Kunde", TRUE, "C Kunde")</f>
        <v>C Kunde</v>
      </c>
    </row>
    <row r="151" spans="1:6" x14ac:dyDescent="0.3">
      <c r="A151" t="s">
        <v>148</v>
      </c>
      <c r="B151" t="s">
        <v>120</v>
      </c>
      <c r="C151">
        <v>2025</v>
      </c>
      <c r="D151" s="4">
        <v>7861.43</v>
      </c>
      <c r="E151" s="26">
        <v>45927</v>
      </c>
      <c r="F151" s="5" t="str" cm="1">
        <f t="array" ref="F151">_xlfn.IFS(D151 &gt;=5000, "A Kunde", D151 &gt;= 10000, "B Kunde", TRUE, "C Kunde")</f>
        <v>A Kunde</v>
      </c>
    </row>
    <row r="152" spans="1:6" x14ac:dyDescent="0.3">
      <c r="A152" t="s">
        <v>125</v>
      </c>
      <c r="B152" t="s">
        <v>122</v>
      </c>
      <c r="C152">
        <v>2025</v>
      </c>
      <c r="D152" s="4">
        <v>9113.4599999999991</v>
      </c>
      <c r="E152" s="26">
        <v>45902</v>
      </c>
      <c r="F152" s="5" t="str" cm="1">
        <f t="array" ref="F152">_xlfn.IFS(D152 &gt;=5000, "A Kunde", D152 &gt;= 10000, "B Kunde", TRUE, "C Kunde")</f>
        <v>A Kunde</v>
      </c>
    </row>
    <row r="153" spans="1:6" x14ac:dyDescent="0.3">
      <c r="A153" t="s">
        <v>156</v>
      </c>
      <c r="B153" t="s">
        <v>128</v>
      </c>
      <c r="C153">
        <v>2025</v>
      </c>
      <c r="D153" s="4">
        <v>11142.47</v>
      </c>
      <c r="E153" s="26">
        <v>45844</v>
      </c>
      <c r="F153" s="5" t="str" cm="1">
        <f t="array" ref="F153">_xlfn.IFS(D153 &gt;=5000, "A Kunde", D153 &gt;= 10000, "B Kunde", TRUE, "C Kunde")</f>
        <v>A Kunde</v>
      </c>
    </row>
    <row r="154" spans="1:6" x14ac:dyDescent="0.3">
      <c r="A154" t="s">
        <v>158</v>
      </c>
      <c r="B154" t="s">
        <v>120</v>
      </c>
      <c r="C154">
        <v>2024</v>
      </c>
      <c r="D154" s="4">
        <v>3258.03</v>
      </c>
      <c r="E154" s="26">
        <v>45529</v>
      </c>
      <c r="F154" s="5" t="str" cm="1">
        <f t="array" ref="F154">_xlfn.IFS(D154 &gt;=5000, "A Kunde", D154 &gt;= 10000, "B Kunde", TRUE, "C Kunde")</f>
        <v>C Kunde</v>
      </c>
    </row>
    <row r="155" spans="1:6" x14ac:dyDescent="0.3">
      <c r="A155" t="s">
        <v>125</v>
      </c>
      <c r="B155" t="s">
        <v>122</v>
      </c>
      <c r="C155">
        <v>2024</v>
      </c>
      <c r="D155" s="4">
        <v>9362.65</v>
      </c>
      <c r="E155" s="26">
        <v>45554</v>
      </c>
      <c r="F155" s="5" t="str" cm="1">
        <f t="array" ref="F155">_xlfn.IFS(D155 &gt;=5000, "A Kunde", D155 &gt;= 10000, "B Kunde", TRUE, "C Kunde")</f>
        <v>A Kunde</v>
      </c>
    </row>
    <row r="156" spans="1:6" x14ac:dyDescent="0.3">
      <c r="A156" t="s">
        <v>140</v>
      </c>
      <c r="B156" t="s">
        <v>128</v>
      </c>
      <c r="C156">
        <v>2025</v>
      </c>
      <c r="D156" s="4">
        <v>7837.93</v>
      </c>
      <c r="E156" s="26">
        <v>45896</v>
      </c>
      <c r="F156" s="5" t="str" cm="1">
        <f t="array" ref="F156">_xlfn.IFS(D156 &gt;=5000, "A Kunde", D156 &gt;= 10000, "B Kunde", TRUE, "C Kunde")</f>
        <v>A Kunde</v>
      </c>
    </row>
    <row r="157" spans="1:6" x14ac:dyDescent="0.3">
      <c r="A157" t="s">
        <v>139</v>
      </c>
      <c r="B157" t="s">
        <v>120</v>
      </c>
      <c r="C157">
        <v>2025</v>
      </c>
      <c r="D157" s="4">
        <v>13953.51</v>
      </c>
      <c r="E157" s="26">
        <v>45798</v>
      </c>
      <c r="F157" s="5" t="str" cm="1">
        <f t="array" ref="F157">_xlfn.IFS(D157 &gt;=5000, "A Kunde", D157 &gt;= 10000, "B Kunde", TRUE, "C Kunde")</f>
        <v>A Kunde</v>
      </c>
    </row>
    <row r="158" spans="1:6" x14ac:dyDescent="0.3">
      <c r="A158" t="s">
        <v>123</v>
      </c>
      <c r="B158" t="s">
        <v>120</v>
      </c>
      <c r="C158">
        <v>2024</v>
      </c>
      <c r="D158" s="4">
        <v>5054.99</v>
      </c>
      <c r="E158" s="26">
        <v>45604</v>
      </c>
      <c r="F158" s="5" t="str" cm="1">
        <f t="array" ref="F158">_xlfn.IFS(D158 &gt;=5000, "A Kunde", D158 &gt;= 10000, "B Kunde", TRUE, "C Kunde")</f>
        <v>A Kunde</v>
      </c>
    </row>
    <row r="159" spans="1:6" x14ac:dyDescent="0.3">
      <c r="A159" t="s">
        <v>129</v>
      </c>
      <c r="B159" t="s">
        <v>120</v>
      </c>
      <c r="C159">
        <v>2024</v>
      </c>
      <c r="D159" s="4">
        <v>4431.3999999999996</v>
      </c>
      <c r="E159" s="26">
        <v>45481</v>
      </c>
      <c r="F159" s="5" t="str" cm="1">
        <f t="array" ref="F159">_xlfn.IFS(D159 &gt;=5000, "A Kunde", D159 &gt;= 10000, "B Kunde", TRUE, "C Kunde")</f>
        <v>C Kunde</v>
      </c>
    </row>
    <row r="160" spans="1:6" x14ac:dyDescent="0.3">
      <c r="A160" t="s">
        <v>147</v>
      </c>
      <c r="B160" t="s">
        <v>120</v>
      </c>
      <c r="C160">
        <v>2023</v>
      </c>
      <c r="D160" s="4">
        <v>10153.719999999999</v>
      </c>
      <c r="E160" s="26">
        <v>45174</v>
      </c>
      <c r="F160" s="5" t="str" cm="1">
        <f t="array" ref="F160">_xlfn.IFS(D160 &gt;=5000, "A Kunde", D160 &gt;= 10000, "B Kunde", TRUE, "C Kunde")</f>
        <v>A Kunde</v>
      </c>
    </row>
    <row r="161" spans="1:6" x14ac:dyDescent="0.3">
      <c r="A161" t="s">
        <v>136</v>
      </c>
      <c r="B161" t="s">
        <v>120</v>
      </c>
      <c r="C161">
        <v>2023</v>
      </c>
      <c r="D161" s="4">
        <v>10451.76</v>
      </c>
      <c r="E161" s="26">
        <v>45171</v>
      </c>
      <c r="F161" s="5" t="str" cm="1">
        <f t="array" ref="F161">_xlfn.IFS(D161 &gt;=5000, "A Kunde", D161 &gt;= 10000, "B Kunde", TRUE, "C Kunde")</f>
        <v>A Kunde</v>
      </c>
    </row>
    <row r="162" spans="1:6" x14ac:dyDescent="0.3">
      <c r="A162" t="s">
        <v>119</v>
      </c>
      <c r="B162" t="s">
        <v>120</v>
      </c>
      <c r="C162">
        <v>2024</v>
      </c>
      <c r="D162" s="4">
        <v>3186.11</v>
      </c>
      <c r="E162" s="26">
        <v>45319</v>
      </c>
      <c r="F162" s="5" t="str" cm="1">
        <f t="array" ref="F162">_xlfn.IFS(D162 &gt;=5000, "A Kunde", D162 &gt;= 10000, "B Kunde", TRUE, "C Kunde")</f>
        <v>C Kunde</v>
      </c>
    </row>
    <row r="163" spans="1:6" x14ac:dyDescent="0.3">
      <c r="A163" t="s">
        <v>126</v>
      </c>
      <c r="B163" t="s">
        <v>116</v>
      </c>
      <c r="C163">
        <v>2024</v>
      </c>
      <c r="D163" s="4">
        <v>10199.27</v>
      </c>
      <c r="E163" s="26">
        <v>45493</v>
      </c>
      <c r="F163" s="5" t="str" cm="1">
        <f t="array" ref="F163">_xlfn.IFS(D163 &gt;=5000, "A Kunde", D163 &gt;= 10000, "B Kunde", TRUE, "C Kunde")</f>
        <v>A Kunde</v>
      </c>
    </row>
    <row r="164" spans="1:6" x14ac:dyDescent="0.3">
      <c r="A164" t="s">
        <v>141</v>
      </c>
      <c r="B164" t="s">
        <v>116</v>
      </c>
      <c r="C164">
        <v>2024</v>
      </c>
      <c r="D164" s="4">
        <v>13731.05</v>
      </c>
      <c r="E164" s="26">
        <v>45506</v>
      </c>
      <c r="F164" s="5" t="str" cm="1">
        <f t="array" ref="F164">_xlfn.IFS(D164 &gt;=5000, "A Kunde", D164 &gt;= 10000, "B Kunde", TRUE, "C Kunde")</f>
        <v>A Kunde</v>
      </c>
    </row>
    <row r="165" spans="1:6" x14ac:dyDescent="0.3">
      <c r="A165" t="s">
        <v>118</v>
      </c>
      <c r="B165" t="s">
        <v>116</v>
      </c>
      <c r="C165">
        <v>2024</v>
      </c>
      <c r="D165" s="4">
        <v>3339.27</v>
      </c>
      <c r="E165" s="26">
        <v>45533</v>
      </c>
      <c r="F165" s="5" t="str" cm="1">
        <f t="array" ref="F165">_xlfn.IFS(D165 &gt;=5000, "A Kunde", D165 &gt;= 10000, "B Kunde", TRUE, "C Kunde")</f>
        <v>C Kunde</v>
      </c>
    </row>
    <row r="166" spans="1:6" x14ac:dyDescent="0.3">
      <c r="A166" t="s">
        <v>119</v>
      </c>
      <c r="B166" t="s">
        <v>120</v>
      </c>
      <c r="C166">
        <v>2024</v>
      </c>
      <c r="D166" s="4">
        <v>395.25</v>
      </c>
      <c r="E166" s="26">
        <v>45546</v>
      </c>
      <c r="F166" s="5" t="str" cm="1">
        <f t="array" ref="F166">_xlfn.IFS(D166 &gt;=5000, "A Kunde", D166 &gt;= 10000, "B Kunde", TRUE, "C Kunde")</f>
        <v>C Kunde</v>
      </c>
    </row>
    <row r="167" spans="1:6" x14ac:dyDescent="0.3">
      <c r="A167" t="s">
        <v>124</v>
      </c>
      <c r="B167" t="s">
        <v>120</v>
      </c>
      <c r="C167">
        <v>2023</v>
      </c>
      <c r="D167" s="4">
        <v>3985.5</v>
      </c>
      <c r="E167" s="26">
        <v>45186</v>
      </c>
      <c r="F167" s="5" t="str" cm="1">
        <f t="array" ref="F167">_xlfn.IFS(D167 &gt;=5000, "A Kunde", D167 &gt;= 10000, "B Kunde", TRUE, "C Kunde")</f>
        <v>C Kunde</v>
      </c>
    </row>
    <row r="168" spans="1:6" x14ac:dyDescent="0.3">
      <c r="A168" t="s">
        <v>115</v>
      </c>
      <c r="B168" t="s">
        <v>116</v>
      </c>
      <c r="C168">
        <v>2024</v>
      </c>
      <c r="D168" s="4">
        <v>9824.36</v>
      </c>
      <c r="E168" s="26">
        <v>45525</v>
      </c>
      <c r="F168" s="5" t="str" cm="1">
        <f t="array" ref="F168">_xlfn.IFS(D168 &gt;=5000, "A Kunde", D168 &gt;= 10000, "B Kunde", TRUE, "C Kunde")</f>
        <v>A Kunde</v>
      </c>
    </row>
    <row r="169" spans="1:6" x14ac:dyDescent="0.3">
      <c r="A169" t="s">
        <v>137</v>
      </c>
      <c r="B169" t="s">
        <v>128</v>
      </c>
      <c r="C169">
        <v>2025</v>
      </c>
      <c r="D169" s="4">
        <v>1615.71</v>
      </c>
      <c r="E169" s="26">
        <v>45932</v>
      </c>
      <c r="F169" s="5" t="str" cm="1">
        <f t="array" ref="F169">_xlfn.IFS(D169 &gt;=5000, "A Kunde", D169 &gt;= 10000, "B Kunde", TRUE, "C Kunde")</f>
        <v>C Kunde</v>
      </c>
    </row>
    <row r="170" spans="1:6" x14ac:dyDescent="0.3">
      <c r="A170" t="s">
        <v>150</v>
      </c>
      <c r="B170" t="s">
        <v>116</v>
      </c>
      <c r="C170">
        <v>2024</v>
      </c>
      <c r="D170" s="4">
        <v>6677.68</v>
      </c>
      <c r="E170" s="26">
        <v>45509</v>
      </c>
      <c r="F170" s="5" t="str" cm="1">
        <f t="array" ref="F170">_xlfn.IFS(D170 &gt;=5000, "A Kunde", D170 &gt;= 10000, "B Kunde", TRUE, "C Kunde")</f>
        <v>A Kunde</v>
      </c>
    </row>
    <row r="171" spans="1:6" x14ac:dyDescent="0.3">
      <c r="A171" t="s">
        <v>151</v>
      </c>
      <c r="B171" t="s">
        <v>120</v>
      </c>
      <c r="C171">
        <v>2024</v>
      </c>
      <c r="D171" s="4">
        <v>2744.22</v>
      </c>
      <c r="E171" s="26">
        <v>45624</v>
      </c>
      <c r="F171" s="5" t="str" cm="1">
        <f t="array" ref="F171">_xlfn.IFS(D171 &gt;=5000, "A Kunde", D171 &gt;= 10000, "B Kunde", TRUE, "C Kunde")</f>
        <v>C Kunde</v>
      </c>
    </row>
    <row r="172" spans="1:6" x14ac:dyDescent="0.3">
      <c r="A172" t="s">
        <v>115</v>
      </c>
      <c r="B172" t="s">
        <v>116</v>
      </c>
      <c r="C172">
        <v>2024</v>
      </c>
      <c r="D172" s="4">
        <v>13186.68</v>
      </c>
      <c r="E172" s="26">
        <v>45444</v>
      </c>
      <c r="F172" s="5" t="str" cm="1">
        <f t="array" ref="F172">_xlfn.IFS(D172 &gt;=5000, "A Kunde", D172 &gt;= 10000, "B Kunde", TRUE, "C Kunde")</f>
        <v>A Kunde</v>
      </c>
    </row>
    <row r="173" spans="1:6" x14ac:dyDescent="0.3">
      <c r="A173" t="s">
        <v>126</v>
      </c>
      <c r="B173" t="s">
        <v>116</v>
      </c>
      <c r="C173">
        <v>2023</v>
      </c>
      <c r="D173" s="4">
        <v>11545.2</v>
      </c>
      <c r="E173" s="26">
        <v>45160</v>
      </c>
      <c r="F173" s="5" t="str" cm="1">
        <f t="array" ref="F173">_xlfn.IFS(D173 &gt;=5000, "A Kunde", D173 &gt;= 10000, "B Kunde", TRUE, "C Kunde")</f>
        <v>A Kunde</v>
      </c>
    </row>
    <row r="174" spans="1:6" x14ac:dyDescent="0.3">
      <c r="A174" t="s">
        <v>155</v>
      </c>
      <c r="B174" t="s">
        <v>128</v>
      </c>
      <c r="C174">
        <v>2025</v>
      </c>
      <c r="D174" s="4">
        <v>1222.33</v>
      </c>
      <c r="E174" s="26">
        <v>45934</v>
      </c>
      <c r="F174" s="5" t="str" cm="1">
        <f t="array" ref="F174">_xlfn.IFS(D174 &gt;=5000, "A Kunde", D174 &gt;= 10000, "B Kunde", TRUE, "C Kunde")</f>
        <v>C Kunde</v>
      </c>
    </row>
    <row r="175" spans="1:6" x14ac:dyDescent="0.3">
      <c r="A175" t="s">
        <v>115</v>
      </c>
      <c r="B175" t="s">
        <v>116</v>
      </c>
      <c r="C175">
        <v>2023</v>
      </c>
      <c r="D175" s="4">
        <v>2258.9299999999998</v>
      </c>
      <c r="E175" s="26">
        <v>45237</v>
      </c>
      <c r="F175" s="5" t="str" cm="1">
        <f t="array" ref="F175">_xlfn.IFS(D175 &gt;=5000, "A Kunde", D175 &gt;= 10000, "B Kunde", TRUE, "C Kunde")</f>
        <v>C Kunde</v>
      </c>
    </row>
    <row r="176" spans="1:6" x14ac:dyDescent="0.3">
      <c r="A176" t="s">
        <v>133</v>
      </c>
      <c r="B176" t="s">
        <v>128</v>
      </c>
      <c r="C176">
        <v>2024</v>
      </c>
      <c r="D176" s="4">
        <v>1375.5</v>
      </c>
      <c r="E176" s="26">
        <v>45549</v>
      </c>
      <c r="F176" s="5" t="str" cm="1">
        <f t="array" ref="F176">_xlfn.IFS(D176 &gt;=5000, "A Kunde", D176 &gt;= 10000, "B Kunde", TRUE, "C Kunde")</f>
        <v>C Kunde</v>
      </c>
    </row>
    <row r="177" spans="1:6" x14ac:dyDescent="0.3">
      <c r="A177" t="s">
        <v>125</v>
      </c>
      <c r="B177" t="s">
        <v>122</v>
      </c>
      <c r="C177">
        <v>2023</v>
      </c>
      <c r="D177" s="4">
        <v>7901.41</v>
      </c>
      <c r="E177" s="26">
        <v>45169</v>
      </c>
      <c r="F177" s="5" t="str" cm="1">
        <f t="array" ref="F177">_xlfn.IFS(D177 &gt;=5000, "A Kunde", D177 &gt;= 10000, "B Kunde", TRUE, "C Kunde")</f>
        <v>A Kunde</v>
      </c>
    </row>
    <row r="178" spans="1:6" x14ac:dyDescent="0.3">
      <c r="A178" t="s">
        <v>148</v>
      </c>
      <c r="B178" t="s">
        <v>120</v>
      </c>
      <c r="C178">
        <v>2024</v>
      </c>
      <c r="D178" s="4">
        <v>10904.57</v>
      </c>
      <c r="E178" s="26">
        <v>45389</v>
      </c>
      <c r="F178" s="5" t="str" cm="1">
        <f t="array" ref="F178">_xlfn.IFS(D178 &gt;=5000, "A Kunde", D178 &gt;= 10000, "B Kunde", TRUE, "C Kunde")</f>
        <v>A Kunde</v>
      </c>
    </row>
    <row r="179" spans="1:6" x14ac:dyDescent="0.3">
      <c r="A179" t="s">
        <v>127</v>
      </c>
      <c r="B179" t="s">
        <v>128</v>
      </c>
      <c r="C179">
        <v>2025</v>
      </c>
      <c r="D179" s="4">
        <v>12737.36</v>
      </c>
      <c r="E179" s="26">
        <v>45849</v>
      </c>
      <c r="F179" s="5" t="str" cm="1">
        <f t="array" ref="F179">_xlfn.IFS(D179 &gt;=5000, "A Kunde", D179 &gt;= 10000, "B Kunde", TRUE, "C Kunde")</f>
        <v>A Kunde</v>
      </c>
    </row>
    <row r="180" spans="1:6" x14ac:dyDescent="0.3">
      <c r="A180" t="s">
        <v>149</v>
      </c>
      <c r="B180" t="s">
        <v>122</v>
      </c>
      <c r="C180">
        <v>2025</v>
      </c>
      <c r="D180" s="4">
        <v>4414.25</v>
      </c>
      <c r="E180" s="26">
        <v>45805</v>
      </c>
      <c r="F180" s="5" t="str" cm="1">
        <f t="array" ref="F180">_xlfn.IFS(D180 &gt;=5000, "A Kunde", D180 &gt;= 10000, "B Kunde", TRUE, "C Kunde")</f>
        <v>C Kunde</v>
      </c>
    </row>
    <row r="181" spans="1:6" x14ac:dyDescent="0.3">
      <c r="A181" t="s">
        <v>153</v>
      </c>
      <c r="B181" t="s">
        <v>122</v>
      </c>
      <c r="C181">
        <v>2023</v>
      </c>
      <c r="D181" s="4">
        <v>8612.91</v>
      </c>
      <c r="E181" s="26">
        <v>45050</v>
      </c>
      <c r="F181" s="5" t="str" cm="1">
        <f t="array" ref="F181">_xlfn.IFS(D181 &gt;=5000, "A Kunde", D181 &gt;= 10000, "B Kunde", TRUE, "C Kunde")</f>
        <v>A Kunde</v>
      </c>
    </row>
    <row r="182" spans="1:6" x14ac:dyDescent="0.3">
      <c r="A182" t="s">
        <v>142</v>
      </c>
      <c r="B182" t="s">
        <v>120</v>
      </c>
      <c r="C182">
        <v>2024</v>
      </c>
      <c r="D182" s="4">
        <v>8832.11</v>
      </c>
      <c r="E182" s="26">
        <v>45352</v>
      </c>
      <c r="F182" s="5" t="str" cm="1">
        <f t="array" ref="F182">_xlfn.IFS(D182 &gt;=5000, "A Kunde", D182 &gt;= 10000, "B Kunde", TRUE, "C Kunde")</f>
        <v>A Kunde</v>
      </c>
    </row>
    <row r="183" spans="1:6" x14ac:dyDescent="0.3">
      <c r="A183" t="s">
        <v>135</v>
      </c>
      <c r="B183" t="s">
        <v>116</v>
      </c>
      <c r="C183">
        <v>2023</v>
      </c>
      <c r="D183" s="4">
        <v>2367.39</v>
      </c>
      <c r="E183" s="26">
        <v>45093</v>
      </c>
      <c r="F183" s="5" t="str" cm="1">
        <f t="array" ref="F183">_xlfn.IFS(D183 &gt;=5000, "A Kunde", D183 &gt;= 10000, "B Kunde", TRUE, "C Kunde")</f>
        <v>C Kunde</v>
      </c>
    </row>
    <row r="184" spans="1:6" x14ac:dyDescent="0.3">
      <c r="A184" t="s">
        <v>119</v>
      </c>
      <c r="B184" t="s">
        <v>120</v>
      </c>
      <c r="C184">
        <v>2023</v>
      </c>
      <c r="D184" s="4">
        <v>2360.15</v>
      </c>
      <c r="E184" s="26">
        <v>45080</v>
      </c>
      <c r="F184" s="5" t="str" cm="1">
        <f t="array" ref="F184">_xlfn.IFS(D184 &gt;=5000, "A Kunde", D184 &gt;= 10000, "B Kunde", TRUE, "C Kunde")</f>
        <v>C Kunde</v>
      </c>
    </row>
    <row r="185" spans="1:6" x14ac:dyDescent="0.3">
      <c r="A185" t="s">
        <v>148</v>
      </c>
      <c r="B185" t="s">
        <v>120</v>
      </c>
      <c r="C185">
        <v>2025</v>
      </c>
      <c r="D185" s="4">
        <v>9713.32</v>
      </c>
      <c r="E185" s="26">
        <v>45849</v>
      </c>
      <c r="F185" s="5" t="str" cm="1">
        <f t="array" ref="F185">_xlfn.IFS(D185 &gt;=5000, "A Kunde", D185 &gt;= 10000, "B Kunde", TRUE, "C Kunde")</f>
        <v>A Kunde</v>
      </c>
    </row>
    <row r="186" spans="1:6" x14ac:dyDescent="0.3">
      <c r="A186" t="s">
        <v>126</v>
      </c>
      <c r="B186" t="s">
        <v>116</v>
      </c>
      <c r="C186">
        <v>2024</v>
      </c>
      <c r="D186" s="4">
        <v>650.42999999999995</v>
      </c>
      <c r="E186" s="26">
        <v>45523</v>
      </c>
      <c r="F186" s="5" t="str" cm="1">
        <f t="array" ref="F186">_xlfn.IFS(D186 &gt;=5000, "A Kunde", D186 &gt;= 10000, "B Kunde", TRUE, "C Kunde")</f>
        <v>C Kunde</v>
      </c>
    </row>
    <row r="187" spans="1:6" x14ac:dyDescent="0.3">
      <c r="A187" t="s">
        <v>130</v>
      </c>
      <c r="B187" t="s">
        <v>116</v>
      </c>
      <c r="C187">
        <v>2024</v>
      </c>
      <c r="D187" s="4">
        <v>9901.23</v>
      </c>
      <c r="E187" s="26">
        <v>45506</v>
      </c>
      <c r="F187" s="5" t="str" cm="1">
        <f t="array" ref="F187">_xlfn.IFS(D187 &gt;=5000, "A Kunde", D187 &gt;= 10000, "B Kunde", TRUE, "C Kunde")</f>
        <v>A Kunde</v>
      </c>
    </row>
    <row r="188" spans="1:6" x14ac:dyDescent="0.3">
      <c r="A188" t="s">
        <v>129</v>
      </c>
      <c r="B188" t="s">
        <v>120</v>
      </c>
      <c r="C188">
        <v>2023</v>
      </c>
      <c r="D188" s="4">
        <v>9685.91</v>
      </c>
      <c r="E188" s="26">
        <v>45072</v>
      </c>
      <c r="F188" s="5" t="str" cm="1">
        <f t="array" ref="F188">_xlfn.IFS(D188 &gt;=5000, "A Kunde", D188 &gt;= 10000, "B Kunde", TRUE, "C Kunde")</f>
        <v>A Kunde</v>
      </c>
    </row>
    <row r="189" spans="1:6" x14ac:dyDescent="0.3">
      <c r="A189" t="s">
        <v>135</v>
      </c>
      <c r="B189" t="s">
        <v>116</v>
      </c>
      <c r="C189">
        <v>2024</v>
      </c>
      <c r="D189" s="4">
        <v>6066.92</v>
      </c>
      <c r="E189" s="26">
        <v>45332</v>
      </c>
      <c r="F189" s="5" t="str" cm="1">
        <f t="array" ref="F189">_xlfn.IFS(D189 &gt;=5000, "A Kunde", D189 &gt;= 10000, "B Kunde", TRUE, "C Kunde")</f>
        <v>A Kunde</v>
      </c>
    </row>
    <row r="190" spans="1:6" x14ac:dyDescent="0.3">
      <c r="A190" t="s">
        <v>124</v>
      </c>
      <c r="B190" t="s">
        <v>120</v>
      </c>
      <c r="C190">
        <v>2024</v>
      </c>
      <c r="D190" s="4">
        <v>9137.36</v>
      </c>
      <c r="E190" s="26">
        <v>45387</v>
      </c>
      <c r="F190" s="5" t="str" cm="1">
        <f t="array" ref="F190">_xlfn.IFS(D190 &gt;=5000, "A Kunde", D190 &gt;= 10000, "B Kunde", TRUE, "C Kunde")</f>
        <v>A Kunde</v>
      </c>
    </row>
    <row r="191" spans="1:6" x14ac:dyDescent="0.3">
      <c r="A191" t="s">
        <v>154</v>
      </c>
      <c r="B191" t="s">
        <v>128</v>
      </c>
      <c r="C191">
        <v>2023</v>
      </c>
      <c r="D191" s="4">
        <v>1185.46</v>
      </c>
      <c r="E191" s="26">
        <v>45218</v>
      </c>
      <c r="F191" s="5" t="str" cm="1">
        <f t="array" ref="F191">_xlfn.IFS(D191 &gt;=5000, "A Kunde", D191 &gt;= 10000, "B Kunde", TRUE, "C Kunde")</f>
        <v>C Kunde</v>
      </c>
    </row>
    <row r="192" spans="1:6" x14ac:dyDescent="0.3">
      <c r="A192" t="s">
        <v>152</v>
      </c>
      <c r="B192" t="s">
        <v>116</v>
      </c>
      <c r="C192">
        <v>2024</v>
      </c>
      <c r="D192" s="4">
        <v>8411.61</v>
      </c>
      <c r="E192" s="26">
        <v>45556</v>
      </c>
      <c r="F192" s="5" t="str" cm="1">
        <f t="array" ref="F192">_xlfn.IFS(D192 &gt;=5000, "A Kunde", D192 &gt;= 10000, "B Kunde", TRUE, "C Kunde")</f>
        <v>A Kunde</v>
      </c>
    </row>
    <row r="193" spans="1:6" x14ac:dyDescent="0.3">
      <c r="A193" t="s">
        <v>133</v>
      </c>
      <c r="B193" t="s">
        <v>128</v>
      </c>
      <c r="C193">
        <v>2024</v>
      </c>
      <c r="D193" s="4">
        <v>6260.32</v>
      </c>
      <c r="E193" s="26">
        <v>45518</v>
      </c>
      <c r="F193" s="5" t="str" cm="1">
        <f t="array" ref="F193">_xlfn.IFS(D193 &gt;=5000, "A Kunde", D193 &gt;= 10000, "B Kunde", TRUE, "C Kunde")</f>
        <v>A Kunde</v>
      </c>
    </row>
    <row r="194" spans="1:6" x14ac:dyDescent="0.3">
      <c r="A194" t="s">
        <v>129</v>
      </c>
      <c r="B194" t="s">
        <v>120</v>
      </c>
      <c r="C194">
        <v>2024</v>
      </c>
      <c r="D194" s="4">
        <v>9856.32</v>
      </c>
      <c r="E194" s="26">
        <v>45549</v>
      </c>
      <c r="F194" s="5" t="str" cm="1">
        <f t="array" ref="F194">_xlfn.IFS(D194 &gt;=5000, "A Kunde", D194 &gt;= 10000, "B Kunde", TRUE, "C Kunde")</f>
        <v>A Kunde</v>
      </c>
    </row>
    <row r="195" spans="1:6" x14ac:dyDescent="0.3">
      <c r="A195" t="s">
        <v>154</v>
      </c>
      <c r="B195" t="s">
        <v>128</v>
      </c>
      <c r="C195">
        <v>2025</v>
      </c>
      <c r="D195" s="4">
        <v>7651.75</v>
      </c>
      <c r="E195" s="26">
        <v>45951</v>
      </c>
      <c r="F195" s="5" t="str" cm="1">
        <f t="array" ref="F195">_xlfn.IFS(D195 &gt;=5000, "A Kunde", D195 &gt;= 10000, "B Kunde", TRUE, "C Kunde")</f>
        <v>A Kunde</v>
      </c>
    </row>
    <row r="196" spans="1:6" x14ac:dyDescent="0.3">
      <c r="A196" t="s">
        <v>151</v>
      </c>
      <c r="B196" t="s">
        <v>120</v>
      </c>
      <c r="C196">
        <v>2023</v>
      </c>
      <c r="D196" s="4">
        <v>8452.91</v>
      </c>
      <c r="E196" s="26">
        <v>45091</v>
      </c>
      <c r="F196" s="5" t="str" cm="1">
        <f t="array" ref="F196">_xlfn.IFS(D196 &gt;=5000, "A Kunde", D196 &gt;= 10000, "B Kunde", TRUE, "C Kunde")</f>
        <v>A Kunde</v>
      </c>
    </row>
    <row r="197" spans="1:6" x14ac:dyDescent="0.3">
      <c r="A197" t="s">
        <v>144</v>
      </c>
      <c r="B197" t="s">
        <v>116</v>
      </c>
      <c r="C197">
        <v>2024</v>
      </c>
      <c r="D197" s="4">
        <v>8531.25</v>
      </c>
      <c r="E197" s="26">
        <v>45587</v>
      </c>
      <c r="F197" s="5" t="str" cm="1">
        <f t="array" ref="F197">_xlfn.IFS(D197 &gt;=5000, "A Kunde", D197 &gt;= 10000, "B Kunde", TRUE, "C Kunde")</f>
        <v>A Kunde</v>
      </c>
    </row>
    <row r="198" spans="1:6" x14ac:dyDescent="0.3">
      <c r="A198" t="s">
        <v>159</v>
      </c>
      <c r="B198" t="s">
        <v>116</v>
      </c>
      <c r="C198">
        <v>2023</v>
      </c>
      <c r="D198" s="4">
        <v>3359.16</v>
      </c>
      <c r="E198" s="26">
        <v>45114</v>
      </c>
      <c r="F198" s="5" t="str" cm="1">
        <f t="array" ref="F198">_xlfn.IFS(D198 &gt;=5000, "A Kunde", D198 &gt;= 10000, "B Kunde", TRUE, "C Kunde")</f>
        <v>C Kunde</v>
      </c>
    </row>
    <row r="199" spans="1:6" x14ac:dyDescent="0.3">
      <c r="A199" t="s">
        <v>133</v>
      </c>
      <c r="B199" t="s">
        <v>128</v>
      </c>
      <c r="C199">
        <v>2023</v>
      </c>
      <c r="D199" s="4">
        <v>13994.1</v>
      </c>
      <c r="E199" s="26">
        <v>44969</v>
      </c>
      <c r="F199" s="5" t="str" cm="1">
        <f t="array" ref="F199">_xlfn.IFS(D199 &gt;=5000, "A Kunde", D199 &gt;= 10000, "B Kunde", TRUE, "C Kunde")</f>
        <v>A Kunde</v>
      </c>
    </row>
    <row r="200" spans="1:6" x14ac:dyDescent="0.3">
      <c r="A200" t="s">
        <v>154</v>
      </c>
      <c r="B200" t="s">
        <v>128</v>
      </c>
      <c r="C200">
        <v>2023</v>
      </c>
      <c r="D200" s="4">
        <v>10730.9</v>
      </c>
      <c r="E200" s="26">
        <v>45009</v>
      </c>
      <c r="F200" s="5" t="str" cm="1">
        <f t="array" ref="F200">_xlfn.IFS(D200 &gt;=5000, "A Kunde", D200 &gt;= 10000, "B Kunde", TRUE, "C Kunde")</f>
        <v>A Kunde</v>
      </c>
    </row>
    <row r="201" spans="1:6" x14ac:dyDescent="0.3">
      <c r="A201" t="s">
        <v>119</v>
      </c>
      <c r="B201" t="s">
        <v>120</v>
      </c>
      <c r="C201">
        <v>2025</v>
      </c>
      <c r="D201" s="4">
        <v>7361.7</v>
      </c>
      <c r="E201" s="26">
        <v>45890</v>
      </c>
      <c r="F201" s="5" t="str" cm="1">
        <f t="array" ref="F201">_xlfn.IFS(D201 &gt;=5000, "A Kunde", D201 &gt;= 10000, "B Kunde", TRUE, "C Kunde")</f>
        <v>A Kunde</v>
      </c>
    </row>
    <row r="202" spans="1:6" x14ac:dyDescent="0.3">
      <c r="A202" t="s">
        <v>151</v>
      </c>
      <c r="B202" t="s">
        <v>120</v>
      </c>
      <c r="C202">
        <v>2024</v>
      </c>
      <c r="D202" s="4">
        <v>2704.55</v>
      </c>
      <c r="E202" s="26">
        <v>45496</v>
      </c>
      <c r="F202" s="5" t="str" cm="1">
        <f t="array" ref="F202">_xlfn.IFS(D202 &gt;=5000, "A Kunde", D202 &gt;= 10000, "B Kunde", TRUE, "C Kunde")</f>
        <v>C Kunde</v>
      </c>
    </row>
    <row r="203" spans="1:6" x14ac:dyDescent="0.3">
      <c r="A203" t="s">
        <v>131</v>
      </c>
      <c r="B203" t="s">
        <v>122</v>
      </c>
      <c r="C203">
        <v>2025</v>
      </c>
      <c r="D203" s="4">
        <v>8960.0300000000007</v>
      </c>
      <c r="E203" s="26">
        <v>45819</v>
      </c>
      <c r="F203" s="5" t="str" cm="1">
        <f t="array" ref="F203">_xlfn.IFS(D203 &gt;=5000, "A Kunde", D203 &gt;= 10000, "B Kunde", TRUE, "C Kunde")</f>
        <v>A Kunde</v>
      </c>
    </row>
    <row r="204" spans="1:6" x14ac:dyDescent="0.3">
      <c r="A204" t="s">
        <v>156</v>
      </c>
      <c r="B204" t="s">
        <v>128</v>
      </c>
      <c r="C204">
        <v>2023</v>
      </c>
      <c r="D204" s="4">
        <v>6686.14</v>
      </c>
      <c r="E204" s="26">
        <v>45113</v>
      </c>
      <c r="F204" s="5" t="str" cm="1">
        <f t="array" ref="F204">_xlfn.IFS(D204 &gt;=5000, "A Kunde", D204 &gt;= 10000, "B Kunde", TRUE, "C Kunde")</f>
        <v>A Kunde</v>
      </c>
    </row>
    <row r="205" spans="1:6" x14ac:dyDescent="0.3">
      <c r="A205" t="s">
        <v>148</v>
      </c>
      <c r="B205" t="s">
        <v>120</v>
      </c>
      <c r="C205">
        <v>2024</v>
      </c>
      <c r="D205" s="4">
        <v>4630.6000000000004</v>
      </c>
      <c r="E205" s="26">
        <v>45609</v>
      </c>
      <c r="F205" s="5" t="str" cm="1">
        <f t="array" ref="F205">_xlfn.IFS(D205 &gt;=5000, "A Kunde", D205 &gt;= 10000, "B Kunde", TRUE, "C Kunde")</f>
        <v>C Kunde</v>
      </c>
    </row>
    <row r="206" spans="1:6" x14ac:dyDescent="0.3">
      <c r="A206" t="s">
        <v>142</v>
      </c>
      <c r="B206" t="s">
        <v>120</v>
      </c>
      <c r="C206">
        <v>2023</v>
      </c>
      <c r="D206" s="4">
        <v>4751.29</v>
      </c>
      <c r="E206" s="26">
        <v>45256</v>
      </c>
      <c r="F206" s="5" t="str" cm="1">
        <f t="array" ref="F206">_xlfn.IFS(D206 &gt;=5000, "A Kunde", D206 &gt;= 10000, "B Kunde", TRUE, "C Kunde")</f>
        <v>C Kunde</v>
      </c>
    </row>
    <row r="207" spans="1:6" x14ac:dyDescent="0.3">
      <c r="A207" t="s">
        <v>156</v>
      </c>
      <c r="B207" t="s">
        <v>128</v>
      </c>
      <c r="C207">
        <v>2024</v>
      </c>
      <c r="D207" s="4">
        <v>9343.65</v>
      </c>
      <c r="E207" s="26">
        <v>45517</v>
      </c>
      <c r="F207" s="5" t="str" cm="1">
        <f t="array" ref="F207">_xlfn.IFS(D207 &gt;=5000, "A Kunde", D207 &gt;= 10000, "B Kunde", TRUE, "C Kunde")</f>
        <v>A Kunde</v>
      </c>
    </row>
    <row r="208" spans="1:6" x14ac:dyDescent="0.3">
      <c r="A208" t="s">
        <v>155</v>
      </c>
      <c r="B208" t="s">
        <v>128</v>
      </c>
      <c r="C208">
        <v>2023</v>
      </c>
      <c r="D208" s="4">
        <v>6476.6</v>
      </c>
      <c r="E208" s="26">
        <v>45002</v>
      </c>
      <c r="F208" s="5" t="str" cm="1">
        <f t="array" ref="F208">_xlfn.IFS(D208 &gt;=5000, "A Kunde", D208 &gt;= 10000, "B Kunde", TRUE, "C Kunde")</f>
        <v>A Kunde</v>
      </c>
    </row>
    <row r="209" spans="1:6" x14ac:dyDescent="0.3">
      <c r="A209" t="s">
        <v>136</v>
      </c>
      <c r="B209" t="s">
        <v>120</v>
      </c>
      <c r="C209">
        <v>2024</v>
      </c>
      <c r="D209" s="4">
        <v>4661.18</v>
      </c>
      <c r="E209" s="26">
        <v>45443</v>
      </c>
      <c r="F209" s="5" t="str" cm="1">
        <f t="array" ref="F209">_xlfn.IFS(D209 &gt;=5000, "A Kunde", D209 &gt;= 10000, "B Kunde", TRUE, "C Kunde")</f>
        <v>C Kunde</v>
      </c>
    </row>
    <row r="210" spans="1:6" x14ac:dyDescent="0.3">
      <c r="A210" t="s">
        <v>155</v>
      </c>
      <c r="B210" t="s">
        <v>128</v>
      </c>
      <c r="C210">
        <v>2025</v>
      </c>
      <c r="D210" s="4">
        <v>11584</v>
      </c>
      <c r="E210" s="26">
        <v>45980</v>
      </c>
      <c r="F210" s="5" t="str" cm="1">
        <f t="array" ref="F210">_xlfn.IFS(D210 &gt;=5000, "A Kunde", D210 &gt;= 10000, "B Kunde", TRUE, "C Kunde")</f>
        <v>A Kunde</v>
      </c>
    </row>
    <row r="211" spans="1:6" x14ac:dyDescent="0.3">
      <c r="A211" t="s">
        <v>150</v>
      </c>
      <c r="B211" t="s">
        <v>116</v>
      </c>
      <c r="C211">
        <v>2025</v>
      </c>
      <c r="D211" s="4">
        <v>5902.82</v>
      </c>
      <c r="E211" s="26">
        <v>45873</v>
      </c>
      <c r="F211" s="5" t="str" cm="1">
        <f t="array" ref="F211">_xlfn.IFS(D211 &gt;=5000, "A Kunde", D211 &gt;= 10000, "B Kunde", TRUE, "C Kunde")</f>
        <v>A Kunde</v>
      </c>
    </row>
    <row r="212" spans="1:6" x14ac:dyDescent="0.3">
      <c r="A212" t="s">
        <v>118</v>
      </c>
      <c r="B212" t="s">
        <v>116</v>
      </c>
      <c r="C212">
        <v>2025</v>
      </c>
      <c r="D212" s="4">
        <v>5192.5600000000004</v>
      </c>
      <c r="E212" s="26">
        <v>45988</v>
      </c>
      <c r="F212" s="5" t="str" cm="1">
        <f t="array" ref="F212">_xlfn.IFS(D212 &gt;=5000, "A Kunde", D212 &gt;= 10000, "B Kunde", TRUE, "C Kunde")</f>
        <v>A Kunde</v>
      </c>
    </row>
    <row r="213" spans="1:6" x14ac:dyDescent="0.3">
      <c r="A213" t="s">
        <v>156</v>
      </c>
      <c r="B213" t="s">
        <v>128</v>
      </c>
      <c r="C213">
        <v>2025</v>
      </c>
      <c r="D213" s="4">
        <v>10687.87</v>
      </c>
      <c r="E213" s="26">
        <v>45832</v>
      </c>
      <c r="F213" s="5" t="str" cm="1">
        <f t="array" ref="F213">_xlfn.IFS(D213 &gt;=5000, "A Kunde", D213 &gt;= 10000, "B Kunde", TRUE, "C Kunde")</f>
        <v>A Kunde</v>
      </c>
    </row>
    <row r="214" spans="1:6" x14ac:dyDescent="0.3">
      <c r="A214" t="s">
        <v>138</v>
      </c>
      <c r="B214" t="s">
        <v>122</v>
      </c>
      <c r="C214">
        <v>2024</v>
      </c>
      <c r="D214" s="4">
        <v>7779.23</v>
      </c>
      <c r="E214" s="26">
        <v>45473</v>
      </c>
      <c r="F214" s="5" t="str" cm="1">
        <f t="array" ref="F214">_xlfn.IFS(D214 &gt;=5000, "A Kunde", D214 &gt;= 10000, "B Kunde", TRUE, "C Kunde")</f>
        <v>A Kunde</v>
      </c>
    </row>
    <row r="215" spans="1:6" x14ac:dyDescent="0.3">
      <c r="A215" t="s">
        <v>130</v>
      </c>
      <c r="B215" t="s">
        <v>116</v>
      </c>
      <c r="C215">
        <v>2025</v>
      </c>
      <c r="D215" s="4">
        <v>12355.68</v>
      </c>
      <c r="E215" s="26">
        <v>45824</v>
      </c>
      <c r="F215" s="5" t="str" cm="1">
        <f t="array" ref="F215">_xlfn.IFS(D215 &gt;=5000, "A Kunde", D215 &gt;= 10000, "B Kunde", TRUE, "C Kunde")</f>
        <v>A Kunde</v>
      </c>
    </row>
    <row r="216" spans="1:6" x14ac:dyDescent="0.3">
      <c r="A216" t="s">
        <v>156</v>
      </c>
      <c r="B216" t="s">
        <v>128</v>
      </c>
      <c r="C216">
        <v>2023</v>
      </c>
      <c r="D216" s="4">
        <v>598.4</v>
      </c>
      <c r="E216" s="26">
        <v>45175</v>
      </c>
      <c r="F216" s="5" t="str" cm="1">
        <f t="array" ref="F216">_xlfn.IFS(D216 &gt;=5000, "A Kunde", D216 &gt;= 10000, "B Kunde", TRUE, "C Kunde")</f>
        <v>C Kunde</v>
      </c>
    </row>
    <row r="217" spans="1:6" x14ac:dyDescent="0.3">
      <c r="A217" t="s">
        <v>143</v>
      </c>
      <c r="B217" t="s">
        <v>122</v>
      </c>
      <c r="C217">
        <v>2024</v>
      </c>
      <c r="D217" s="4">
        <v>9995</v>
      </c>
      <c r="E217" s="26">
        <v>45417</v>
      </c>
      <c r="F217" s="5" t="str" cm="1">
        <f t="array" ref="F217">_xlfn.IFS(D217 &gt;=5000, "A Kunde", D217 &gt;= 10000, "B Kunde", TRUE, "C Kunde")</f>
        <v>A Kunde</v>
      </c>
    </row>
    <row r="218" spans="1:6" x14ac:dyDescent="0.3">
      <c r="A218" t="s">
        <v>149</v>
      </c>
      <c r="B218" t="s">
        <v>122</v>
      </c>
      <c r="C218">
        <v>2023</v>
      </c>
      <c r="D218" s="4">
        <v>7821.07</v>
      </c>
      <c r="E218" s="26">
        <v>44955</v>
      </c>
      <c r="F218" s="5" t="str" cm="1">
        <f t="array" ref="F218">_xlfn.IFS(D218 &gt;=5000, "A Kunde", D218 &gt;= 10000, "B Kunde", TRUE, "C Kunde")</f>
        <v>A Kunde</v>
      </c>
    </row>
    <row r="219" spans="1:6" x14ac:dyDescent="0.3">
      <c r="A219" t="s">
        <v>158</v>
      </c>
      <c r="B219" t="s">
        <v>120</v>
      </c>
      <c r="C219">
        <v>2024</v>
      </c>
      <c r="D219" s="4">
        <v>13893.15</v>
      </c>
      <c r="E219" s="26">
        <v>45387</v>
      </c>
      <c r="F219" s="5" t="str" cm="1">
        <f t="array" ref="F219">_xlfn.IFS(D219 &gt;=5000, "A Kunde", D219 &gt;= 10000, "B Kunde", TRUE, "C Kunde")</f>
        <v>A Kunde</v>
      </c>
    </row>
    <row r="220" spans="1:6" x14ac:dyDescent="0.3">
      <c r="A220" t="s">
        <v>145</v>
      </c>
      <c r="B220" t="s">
        <v>120</v>
      </c>
      <c r="C220">
        <v>2025</v>
      </c>
      <c r="D220" s="4">
        <v>13269.44</v>
      </c>
      <c r="E220" s="26">
        <v>45872</v>
      </c>
      <c r="F220" s="5" t="str" cm="1">
        <f t="array" ref="F220">_xlfn.IFS(D220 &gt;=5000, "A Kunde", D220 &gt;= 10000, "B Kunde", TRUE, "C Kunde")</f>
        <v>A Kunde</v>
      </c>
    </row>
    <row r="221" spans="1:6" x14ac:dyDescent="0.3">
      <c r="A221" t="s">
        <v>146</v>
      </c>
      <c r="B221" t="s">
        <v>128</v>
      </c>
      <c r="C221">
        <v>2025</v>
      </c>
      <c r="D221" s="4">
        <v>13070.61</v>
      </c>
      <c r="E221" s="26">
        <v>45947</v>
      </c>
      <c r="F221" s="5" t="str" cm="1">
        <f t="array" ref="F221">_xlfn.IFS(D221 &gt;=5000, "A Kunde", D221 &gt;= 10000, "B Kunde", TRUE, "C Kunde")</f>
        <v>A Kunde</v>
      </c>
    </row>
    <row r="222" spans="1:6" x14ac:dyDescent="0.3">
      <c r="A222" t="s">
        <v>130</v>
      </c>
      <c r="B222" t="s">
        <v>116</v>
      </c>
      <c r="C222">
        <v>2025</v>
      </c>
      <c r="D222" s="4">
        <v>9934.68</v>
      </c>
      <c r="E222" s="26">
        <v>45969</v>
      </c>
      <c r="F222" s="5" t="str" cm="1">
        <f t="array" ref="F222">_xlfn.IFS(D222 &gt;=5000, "A Kunde", D222 &gt;= 10000, "B Kunde", TRUE, "C Kunde")</f>
        <v>A Kunde</v>
      </c>
    </row>
    <row r="223" spans="1:6" x14ac:dyDescent="0.3">
      <c r="A223" t="s">
        <v>148</v>
      </c>
      <c r="B223" t="s">
        <v>120</v>
      </c>
      <c r="C223">
        <v>2025</v>
      </c>
      <c r="D223" s="4">
        <v>13727.38</v>
      </c>
      <c r="E223" s="26">
        <v>45915</v>
      </c>
      <c r="F223" s="5" t="str" cm="1">
        <f t="array" ref="F223">_xlfn.IFS(D223 &gt;=5000, "A Kunde", D223 &gt;= 10000, "B Kunde", TRUE, "C Kunde")</f>
        <v>A Kunde</v>
      </c>
    </row>
    <row r="224" spans="1:6" x14ac:dyDescent="0.3">
      <c r="A224" t="s">
        <v>125</v>
      </c>
      <c r="B224" t="s">
        <v>122</v>
      </c>
      <c r="C224">
        <v>2025</v>
      </c>
      <c r="D224" s="4">
        <v>7807.46</v>
      </c>
      <c r="E224" s="26">
        <v>45862</v>
      </c>
      <c r="F224" s="5" t="str" cm="1">
        <f t="array" ref="F224">_xlfn.IFS(D224 &gt;=5000, "A Kunde", D224 &gt;= 10000, "B Kunde", TRUE, "C Kunde")</f>
        <v>A Kunde</v>
      </c>
    </row>
    <row r="225" spans="1:6" x14ac:dyDescent="0.3">
      <c r="A225" t="s">
        <v>127</v>
      </c>
      <c r="B225" t="s">
        <v>128</v>
      </c>
      <c r="C225">
        <v>2024</v>
      </c>
      <c r="D225" s="4">
        <v>12921.78</v>
      </c>
      <c r="E225" s="26">
        <v>45317</v>
      </c>
      <c r="F225" s="5" t="str" cm="1">
        <f t="array" ref="F225">_xlfn.IFS(D225 &gt;=5000, "A Kunde", D225 &gt;= 10000, "B Kunde", TRUE, "C Kunde")</f>
        <v>A Kunde</v>
      </c>
    </row>
    <row r="226" spans="1:6" x14ac:dyDescent="0.3">
      <c r="A226" t="s">
        <v>132</v>
      </c>
      <c r="B226" t="s">
        <v>128</v>
      </c>
      <c r="C226">
        <v>2023</v>
      </c>
      <c r="D226" s="4">
        <v>12123.57</v>
      </c>
      <c r="E226" s="26">
        <v>45206</v>
      </c>
      <c r="F226" s="5" t="str" cm="1">
        <f t="array" ref="F226">_xlfn.IFS(D226 &gt;=5000, "A Kunde", D226 &gt;= 10000, "B Kunde", TRUE, "C Kunde")</f>
        <v>A Kunde</v>
      </c>
    </row>
    <row r="227" spans="1:6" x14ac:dyDescent="0.3">
      <c r="A227" t="s">
        <v>154</v>
      </c>
      <c r="B227" t="s">
        <v>128</v>
      </c>
      <c r="C227">
        <v>2025</v>
      </c>
      <c r="D227" s="4">
        <v>4890.28</v>
      </c>
      <c r="E227" s="26">
        <v>45776</v>
      </c>
      <c r="F227" s="5" t="str" cm="1">
        <f t="array" ref="F227">_xlfn.IFS(D227 &gt;=5000, "A Kunde", D227 &gt;= 10000, "B Kunde", TRUE, "C Kunde")</f>
        <v>C Kunde</v>
      </c>
    </row>
    <row r="228" spans="1:6" x14ac:dyDescent="0.3">
      <c r="A228" t="s">
        <v>132</v>
      </c>
      <c r="B228" t="s">
        <v>128</v>
      </c>
      <c r="C228">
        <v>2024</v>
      </c>
      <c r="D228" s="4">
        <v>11523.58</v>
      </c>
      <c r="E228" s="26">
        <v>45474</v>
      </c>
      <c r="F228" s="5" t="str" cm="1">
        <f t="array" ref="F228">_xlfn.IFS(D228 &gt;=5000, "A Kunde", D228 &gt;= 10000, "B Kunde", TRUE, "C Kunde")</f>
        <v>A Kunde</v>
      </c>
    </row>
    <row r="229" spans="1:6" x14ac:dyDescent="0.3">
      <c r="A229" t="s">
        <v>130</v>
      </c>
      <c r="B229" t="s">
        <v>116</v>
      </c>
      <c r="C229">
        <v>2024</v>
      </c>
      <c r="D229" s="4">
        <v>11757.17</v>
      </c>
      <c r="E229" s="26">
        <v>45538</v>
      </c>
      <c r="F229" s="5" t="str" cm="1">
        <f t="array" ref="F229">_xlfn.IFS(D229 &gt;=5000, "A Kunde", D229 &gt;= 10000, "B Kunde", TRUE, "C Kunde")</f>
        <v>A Kunde</v>
      </c>
    </row>
    <row r="230" spans="1:6" x14ac:dyDescent="0.3">
      <c r="A230" t="s">
        <v>131</v>
      </c>
      <c r="B230" t="s">
        <v>122</v>
      </c>
      <c r="C230">
        <v>2025</v>
      </c>
      <c r="D230" s="4">
        <v>12140.6</v>
      </c>
      <c r="E230" s="26">
        <v>45929</v>
      </c>
      <c r="F230" s="5" t="str" cm="1">
        <f t="array" ref="F230">_xlfn.IFS(D230 &gt;=5000, "A Kunde", D230 &gt;= 10000, "B Kunde", TRUE, "C Kunde")</f>
        <v>A Kunde</v>
      </c>
    </row>
    <row r="231" spans="1:6" x14ac:dyDescent="0.3">
      <c r="A231" t="s">
        <v>151</v>
      </c>
      <c r="B231" t="s">
        <v>120</v>
      </c>
      <c r="C231">
        <v>2025</v>
      </c>
      <c r="D231" s="4">
        <v>4962.71</v>
      </c>
      <c r="E231" s="26">
        <v>45918</v>
      </c>
      <c r="F231" s="5" t="str" cm="1">
        <f t="array" ref="F231">_xlfn.IFS(D231 &gt;=5000, "A Kunde", D231 &gt;= 10000, "B Kunde", TRUE, "C Kunde")</f>
        <v>C Kunde</v>
      </c>
    </row>
    <row r="232" spans="1:6" x14ac:dyDescent="0.3">
      <c r="A232" t="s">
        <v>123</v>
      </c>
      <c r="B232" t="s">
        <v>120</v>
      </c>
      <c r="C232">
        <v>2025</v>
      </c>
      <c r="D232" s="4">
        <v>6483.76</v>
      </c>
      <c r="E232" s="26">
        <v>45699</v>
      </c>
      <c r="F232" s="5" t="str" cm="1">
        <f t="array" ref="F232">_xlfn.IFS(D232 &gt;=5000, "A Kunde", D232 &gt;= 10000, "B Kunde", TRUE, "C Kunde")</f>
        <v>A Kunde</v>
      </c>
    </row>
    <row r="233" spans="1:6" x14ac:dyDescent="0.3">
      <c r="A233" t="s">
        <v>136</v>
      </c>
      <c r="B233" t="s">
        <v>120</v>
      </c>
      <c r="C233">
        <v>2024</v>
      </c>
      <c r="D233" s="4">
        <v>13734.69</v>
      </c>
      <c r="E233" s="26">
        <v>45313</v>
      </c>
      <c r="F233" s="5" t="str" cm="1">
        <f t="array" ref="F233">_xlfn.IFS(D233 &gt;=5000, "A Kunde", D233 &gt;= 10000, "B Kunde", TRUE, "C Kunde")</f>
        <v>A Kunde</v>
      </c>
    </row>
    <row r="234" spans="1:6" x14ac:dyDescent="0.3">
      <c r="A234" t="s">
        <v>125</v>
      </c>
      <c r="B234" t="s">
        <v>122</v>
      </c>
      <c r="C234">
        <v>2025</v>
      </c>
      <c r="D234" s="4">
        <v>3423.16</v>
      </c>
      <c r="E234" s="26">
        <v>45711</v>
      </c>
      <c r="F234" s="5" t="str" cm="1">
        <f t="array" ref="F234">_xlfn.IFS(D234 &gt;=5000, "A Kunde", D234 &gt;= 10000, "B Kunde", TRUE, "C Kunde")</f>
        <v>C Kunde</v>
      </c>
    </row>
    <row r="235" spans="1:6" x14ac:dyDescent="0.3">
      <c r="A235" t="s">
        <v>148</v>
      </c>
      <c r="B235" t="s">
        <v>120</v>
      </c>
      <c r="C235">
        <v>2023</v>
      </c>
      <c r="D235" s="4">
        <v>4590.83</v>
      </c>
      <c r="E235" s="26">
        <v>45016</v>
      </c>
      <c r="F235" s="5" t="str" cm="1">
        <f t="array" ref="F235">_xlfn.IFS(D235 &gt;=5000, "A Kunde", D235 &gt;= 10000, "B Kunde", TRUE, "C Kunde")</f>
        <v>C Kunde</v>
      </c>
    </row>
    <row r="236" spans="1:6" x14ac:dyDescent="0.3">
      <c r="A236" t="s">
        <v>126</v>
      </c>
      <c r="B236" t="s">
        <v>116</v>
      </c>
      <c r="C236">
        <v>2025</v>
      </c>
      <c r="D236" s="4">
        <v>5527.89</v>
      </c>
      <c r="E236" s="26">
        <v>45707</v>
      </c>
      <c r="F236" s="5" t="str" cm="1">
        <f t="array" ref="F236">_xlfn.IFS(D236 &gt;=5000, "A Kunde", D236 &gt;= 10000, "B Kunde", TRUE, "C Kunde")</f>
        <v>A Kunde</v>
      </c>
    </row>
    <row r="237" spans="1:6" x14ac:dyDescent="0.3">
      <c r="A237" t="s">
        <v>146</v>
      </c>
      <c r="B237" t="s">
        <v>128</v>
      </c>
      <c r="C237">
        <v>2025</v>
      </c>
      <c r="D237" s="4">
        <v>13514.58</v>
      </c>
      <c r="E237" s="26">
        <v>45941</v>
      </c>
      <c r="F237" s="5" t="str" cm="1">
        <f t="array" ref="F237">_xlfn.IFS(D237 &gt;=5000, "A Kunde", D237 &gt;= 10000, "B Kunde", TRUE, "C Kunde")</f>
        <v>A Kunde</v>
      </c>
    </row>
    <row r="238" spans="1:6" x14ac:dyDescent="0.3">
      <c r="A238" t="s">
        <v>137</v>
      </c>
      <c r="B238" t="s">
        <v>128</v>
      </c>
      <c r="C238">
        <v>2025</v>
      </c>
      <c r="D238" s="4">
        <v>13521.88</v>
      </c>
      <c r="E238" s="26">
        <v>45955</v>
      </c>
      <c r="F238" s="5" t="str" cm="1">
        <f t="array" ref="F238">_xlfn.IFS(D238 &gt;=5000, "A Kunde", D238 &gt;= 10000, "B Kunde", TRUE, "C Kunde")</f>
        <v>A Kunde</v>
      </c>
    </row>
    <row r="239" spans="1:6" x14ac:dyDescent="0.3">
      <c r="A239" t="s">
        <v>117</v>
      </c>
      <c r="B239" t="s">
        <v>116</v>
      </c>
      <c r="C239">
        <v>2023</v>
      </c>
      <c r="D239" s="4">
        <v>12263.83</v>
      </c>
      <c r="E239" s="26">
        <v>45132</v>
      </c>
      <c r="F239" s="5" t="str" cm="1">
        <f t="array" ref="F239">_xlfn.IFS(D239 &gt;=5000, "A Kunde", D239 &gt;= 10000, "B Kunde", TRUE, "C Kunde")</f>
        <v>A Kunde</v>
      </c>
    </row>
    <row r="240" spans="1:6" x14ac:dyDescent="0.3">
      <c r="A240" t="s">
        <v>151</v>
      </c>
      <c r="B240" t="s">
        <v>120</v>
      </c>
      <c r="C240">
        <v>2023</v>
      </c>
      <c r="D240" s="4">
        <v>7458.12</v>
      </c>
      <c r="E240" s="26">
        <v>45131</v>
      </c>
      <c r="F240" s="5" t="str" cm="1">
        <f t="array" ref="F240">_xlfn.IFS(D240 &gt;=5000, "A Kunde", D240 &gt;= 10000, "B Kunde", TRUE, "C Kunde")</f>
        <v>A Kunde</v>
      </c>
    </row>
    <row r="241" spans="1:6" x14ac:dyDescent="0.3">
      <c r="A241" t="s">
        <v>129</v>
      </c>
      <c r="B241" t="s">
        <v>120</v>
      </c>
      <c r="C241">
        <v>2023</v>
      </c>
      <c r="D241" s="4">
        <v>10169.719999999999</v>
      </c>
      <c r="E241" s="26">
        <v>44958</v>
      </c>
      <c r="F241" s="5" t="str" cm="1">
        <f t="array" ref="F241">_xlfn.IFS(D241 &gt;=5000, "A Kunde", D241 &gt;= 10000, "B Kunde", TRUE, "C Kunde")</f>
        <v>A Kunde</v>
      </c>
    </row>
    <row r="242" spans="1:6" x14ac:dyDescent="0.3">
      <c r="A242" t="s">
        <v>148</v>
      </c>
      <c r="B242" t="s">
        <v>120</v>
      </c>
      <c r="C242">
        <v>2023</v>
      </c>
      <c r="D242" s="4">
        <v>1232.6300000000001</v>
      </c>
      <c r="E242" s="26">
        <v>45243</v>
      </c>
      <c r="F242" s="5" t="str" cm="1">
        <f t="array" ref="F242">_xlfn.IFS(D242 &gt;=5000, "A Kunde", D242 &gt;= 10000, "B Kunde", TRUE, "C Kunde")</f>
        <v>C Kunde</v>
      </c>
    </row>
    <row r="243" spans="1:6" x14ac:dyDescent="0.3">
      <c r="A243" t="s">
        <v>135</v>
      </c>
      <c r="B243" t="s">
        <v>116</v>
      </c>
      <c r="C243">
        <v>2024</v>
      </c>
      <c r="D243" s="4">
        <v>8800.98</v>
      </c>
      <c r="E243" s="26">
        <v>45620</v>
      </c>
      <c r="F243" s="5" t="str" cm="1">
        <f t="array" ref="F243">_xlfn.IFS(D243 &gt;=5000, "A Kunde", D243 &gt;= 10000, "B Kunde", TRUE, "C Kunde")</f>
        <v>A Kunde</v>
      </c>
    </row>
    <row r="244" spans="1:6" x14ac:dyDescent="0.3">
      <c r="A244" t="s">
        <v>155</v>
      </c>
      <c r="B244" t="s">
        <v>128</v>
      </c>
      <c r="C244">
        <v>2023</v>
      </c>
      <c r="D244" s="4">
        <v>11954.36</v>
      </c>
      <c r="E244" s="26">
        <v>45091</v>
      </c>
      <c r="F244" s="5" t="str" cm="1">
        <f t="array" ref="F244">_xlfn.IFS(D244 &gt;=5000, "A Kunde", D244 &gt;= 10000, "B Kunde", TRUE, "C Kunde")</f>
        <v>A Kunde</v>
      </c>
    </row>
    <row r="245" spans="1:6" x14ac:dyDescent="0.3">
      <c r="A245" t="s">
        <v>124</v>
      </c>
      <c r="B245" t="s">
        <v>120</v>
      </c>
      <c r="C245">
        <v>2025</v>
      </c>
      <c r="D245" s="4">
        <v>13367.13</v>
      </c>
      <c r="E245" s="26">
        <v>45705</v>
      </c>
      <c r="F245" s="5" t="str" cm="1">
        <f t="array" ref="F245">_xlfn.IFS(D245 &gt;=5000, "A Kunde", D245 &gt;= 10000, "B Kunde", TRUE, "C Kunde")</f>
        <v>A Kunde</v>
      </c>
    </row>
    <row r="246" spans="1:6" x14ac:dyDescent="0.3">
      <c r="A246" t="s">
        <v>156</v>
      </c>
      <c r="B246" t="s">
        <v>128</v>
      </c>
      <c r="C246">
        <v>2023</v>
      </c>
      <c r="D246" s="4">
        <v>8720.94</v>
      </c>
      <c r="E246" s="26">
        <v>45000</v>
      </c>
      <c r="F246" s="5" t="str" cm="1">
        <f t="array" ref="F246">_xlfn.IFS(D246 &gt;=5000, "A Kunde", D246 &gt;= 10000, "B Kunde", TRUE, "C Kunde")</f>
        <v>A Kunde</v>
      </c>
    </row>
    <row r="247" spans="1:6" x14ac:dyDescent="0.3">
      <c r="A247" t="s">
        <v>125</v>
      </c>
      <c r="B247" t="s">
        <v>122</v>
      </c>
      <c r="C247">
        <v>2024</v>
      </c>
      <c r="D247" s="4">
        <v>13964.48</v>
      </c>
      <c r="E247" s="26">
        <v>45515</v>
      </c>
      <c r="F247" s="5" t="str" cm="1">
        <f t="array" ref="F247">_xlfn.IFS(D247 &gt;=5000, "A Kunde", D247 &gt;= 10000, "B Kunde", TRUE, "C Kunde")</f>
        <v>A Kunde</v>
      </c>
    </row>
    <row r="248" spans="1:6" x14ac:dyDescent="0.3">
      <c r="A248" t="s">
        <v>158</v>
      </c>
      <c r="B248" t="s">
        <v>120</v>
      </c>
      <c r="C248">
        <v>2025</v>
      </c>
      <c r="D248" s="4">
        <v>13701.06</v>
      </c>
      <c r="E248" s="26">
        <v>45815</v>
      </c>
      <c r="F248" s="5" t="str" cm="1">
        <f t="array" ref="F248">_xlfn.IFS(D248 &gt;=5000, "A Kunde", D248 &gt;= 10000, "B Kunde", TRUE, "C Kunde")</f>
        <v>A Kunde</v>
      </c>
    </row>
    <row r="249" spans="1:6" x14ac:dyDescent="0.3">
      <c r="A249" t="s">
        <v>142</v>
      </c>
      <c r="B249" t="s">
        <v>120</v>
      </c>
      <c r="C249">
        <v>2025</v>
      </c>
      <c r="D249" s="4">
        <v>2495.83</v>
      </c>
      <c r="E249" s="26">
        <v>45835</v>
      </c>
      <c r="F249" s="5" t="str" cm="1">
        <f t="array" ref="F249">_xlfn.IFS(D249 &gt;=5000, "A Kunde", D249 &gt;= 10000, "B Kunde", TRUE, "C Kunde")</f>
        <v>C Kunde</v>
      </c>
    </row>
    <row r="250" spans="1:6" x14ac:dyDescent="0.3">
      <c r="A250" t="s">
        <v>149</v>
      </c>
      <c r="B250" t="s">
        <v>122</v>
      </c>
      <c r="C250">
        <v>2023</v>
      </c>
      <c r="D250" s="4">
        <v>834.68</v>
      </c>
      <c r="E250" s="26">
        <v>44986</v>
      </c>
      <c r="F250" s="5" t="str" cm="1">
        <f t="array" ref="F250">_xlfn.IFS(D250 &gt;=5000, "A Kunde", D250 &gt;= 10000, "B Kunde", TRUE, "C Kunde")</f>
        <v>C Kunde</v>
      </c>
    </row>
    <row r="251" spans="1:6" x14ac:dyDescent="0.3">
      <c r="A251" t="s">
        <v>115</v>
      </c>
      <c r="B251" t="s">
        <v>116</v>
      </c>
      <c r="C251">
        <v>2024</v>
      </c>
      <c r="D251" s="4">
        <v>5146.79</v>
      </c>
      <c r="E251" s="26">
        <v>45527</v>
      </c>
      <c r="F251" s="5" t="str" cm="1">
        <f t="array" ref="F251">_xlfn.IFS(D251 &gt;=5000, "A Kunde", D251 &gt;= 10000, "B Kunde", TRUE, "C Kunde")</f>
        <v>A Kunde</v>
      </c>
    </row>
    <row r="252" spans="1:6" x14ac:dyDescent="0.3">
      <c r="A252" t="s">
        <v>144</v>
      </c>
      <c r="B252" t="s">
        <v>116</v>
      </c>
      <c r="C252">
        <v>2023</v>
      </c>
      <c r="D252" s="4">
        <v>3569.92</v>
      </c>
      <c r="E252" s="26">
        <v>45225</v>
      </c>
      <c r="F252" s="5" t="str" cm="1">
        <f t="array" ref="F252">_xlfn.IFS(D252 &gt;=5000, "A Kunde", D252 &gt;= 10000, "B Kunde", TRUE, "C Kunde")</f>
        <v>C Kunde</v>
      </c>
    </row>
    <row r="253" spans="1:6" x14ac:dyDescent="0.3">
      <c r="A253" t="s">
        <v>148</v>
      </c>
      <c r="B253" t="s">
        <v>120</v>
      </c>
      <c r="C253">
        <v>2024</v>
      </c>
      <c r="D253" s="4">
        <v>2545.77</v>
      </c>
      <c r="E253" s="26">
        <v>45295</v>
      </c>
      <c r="F253" s="5" t="str" cm="1">
        <f t="array" ref="F253">_xlfn.IFS(D253 &gt;=5000, "A Kunde", D253 &gt;= 10000, "B Kunde", TRUE, "C Kunde")</f>
        <v>C Kunde</v>
      </c>
    </row>
    <row r="254" spans="1:6" x14ac:dyDescent="0.3">
      <c r="A254" t="s">
        <v>158</v>
      </c>
      <c r="B254" t="s">
        <v>120</v>
      </c>
      <c r="C254">
        <v>2025</v>
      </c>
      <c r="D254" s="4">
        <v>8752</v>
      </c>
      <c r="E254" s="26">
        <v>45710</v>
      </c>
      <c r="F254" s="5" t="str" cm="1">
        <f t="array" ref="F254">_xlfn.IFS(D254 &gt;=5000, "A Kunde", D254 &gt;= 10000, "B Kunde", TRUE, "C Kunde")</f>
        <v>A Kunde</v>
      </c>
    </row>
    <row r="255" spans="1:6" x14ac:dyDescent="0.3">
      <c r="A255" t="s">
        <v>125</v>
      </c>
      <c r="B255" t="s">
        <v>122</v>
      </c>
      <c r="C255">
        <v>2025</v>
      </c>
      <c r="D255" s="4">
        <v>12797.04</v>
      </c>
      <c r="E255" s="26">
        <v>45946</v>
      </c>
      <c r="F255" s="5" t="str" cm="1">
        <f t="array" ref="F255">_xlfn.IFS(D255 &gt;=5000, "A Kunde", D255 &gt;= 10000, "B Kunde", TRUE, "C Kunde")</f>
        <v>A Kunde</v>
      </c>
    </row>
    <row r="256" spans="1:6" x14ac:dyDescent="0.3">
      <c r="A256" t="s">
        <v>146</v>
      </c>
      <c r="B256" t="s">
        <v>128</v>
      </c>
      <c r="C256">
        <v>2024</v>
      </c>
      <c r="D256" s="4">
        <v>6563.87</v>
      </c>
      <c r="E256" s="26">
        <v>45402</v>
      </c>
      <c r="F256" s="5" t="str" cm="1">
        <f t="array" ref="F256">_xlfn.IFS(D256 &gt;=5000, "A Kunde", D256 &gt;= 10000, "B Kunde", TRUE, "C Kunde")</f>
        <v>A Kunde</v>
      </c>
    </row>
    <row r="257" spans="1:6" x14ac:dyDescent="0.3">
      <c r="A257" t="s">
        <v>135</v>
      </c>
      <c r="B257" t="s">
        <v>116</v>
      </c>
      <c r="C257">
        <v>2025</v>
      </c>
      <c r="D257" s="4">
        <v>3723.51</v>
      </c>
      <c r="E257" s="26">
        <v>45868</v>
      </c>
      <c r="F257" s="5" t="str" cm="1">
        <f t="array" ref="F257">_xlfn.IFS(D257 &gt;=5000, "A Kunde", D257 &gt;= 10000, "B Kunde", TRUE, "C Kunde")</f>
        <v>C Kunde</v>
      </c>
    </row>
    <row r="258" spans="1:6" x14ac:dyDescent="0.3">
      <c r="A258" t="s">
        <v>150</v>
      </c>
      <c r="B258" t="s">
        <v>116</v>
      </c>
      <c r="C258">
        <v>2025</v>
      </c>
      <c r="D258" s="4">
        <v>12636.69</v>
      </c>
      <c r="E258" s="26">
        <v>45879</v>
      </c>
      <c r="F258" s="5" t="str" cm="1">
        <f t="array" ref="F258">_xlfn.IFS(D258 &gt;=5000, "A Kunde", D258 &gt;= 10000, "B Kunde", TRUE, "C Kunde")</f>
        <v>A Kunde</v>
      </c>
    </row>
    <row r="259" spans="1:6" x14ac:dyDescent="0.3">
      <c r="A259" t="s">
        <v>124</v>
      </c>
      <c r="B259" t="s">
        <v>120</v>
      </c>
      <c r="C259">
        <v>2023</v>
      </c>
      <c r="D259" s="4">
        <v>1219.29</v>
      </c>
      <c r="E259" s="26">
        <v>45250</v>
      </c>
      <c r="F259" s="5" t="str" cm="1">
        <f t="array" ref="F259">_xlfn.IFS(D259 &gt;=5000, "A Kunde", D259 &gt;= 10000, "B Kunde", TRUE, "C Kunde")</f>
        <v>C Kunde</v>
      </c>
    </row>
    <row r="260" spans="1:6" x14ac:dyDescent="0.3">
      <c r="A260" t="s">
        <v>139</v>
      </c>
      <c r="B260" t="s">
        <v>120</v>
      </c>
      <c r="C260">
        <v>2024</v>
      </c>
      <c r="D260" s="4">
        <v>9017.35</v>
      </c>
      <c r="E260" s="26">
        <v>45539</v>
      </c>
      <c r="F260" s="5" t="str" cm="1">
        <f t="array" ref="F260">_xlfn.IFS(D260 &gt;=5000, "A Kunde", D260 &gt;= 10000, "B Kunde", TRUE, "C Kunde")</f>
        <v>A Kunde</v>
      </c>
    </row>
    <row r="261" spans="1:6" x14ac:dyDescent="0.3">
      <c r="A261" t="s">
        <v>144</v>
      </c>
      <c r="B261" t="s">
        <v>116</v>
      </c>
      <c r="C261">
        <v>2024</v>
      </c>
      <c r="D261" s="4">
        <v>6504.33</v>
      </c>
      <c r="E261" s="26">
        <v>45439</v>
      </c>
      <c r="F261" s="5" t="str" cm="1">
        <f t="array" ref="F261">_xlfn.IFS(D261 &gt;=5000, "A Kunde", D261 &gt;= 10000, "B Kunde", TRUE, "C Kunde")</f>
        <v>A Kunde</v>
      </c>
    </row>
    <row r="262" spans="1:6" x14ac:dyDescent="0.3">
      <c r="A262" t="s">
        <v>149</v>
      </c>
      <c r="B262" t="s">
        <v>122</v>
      </c>
      <c r="C262">
        <v>2024</v>
      </c>
      <c r="D262" s="4">
        <v>13991.36</v>
      </c>
      <c r="E262" s="26">
        <v>45334</v>
      </c>
      <c r="F262" s="5" t="str" cm="1">
        <f t="array" ref="F262">_xlfn.IFS(D262 &gt;=5000, "A Kunde", D262 &gt;= 10000, "B Kunde", TRUE, "C Kunde")</f>
        <v>A Kunde</v>
      </c>
    </row>
    <row r="263" spans="1:6" x14ac:dyDescent="0.3">
      <c r="A263" t="s">
        <v>126</v>
      </c>
      <c r="B263" t="s">
        <v>116</v>
      </c>
      <c r="C263">
        <v>2023</v>
      </c>
      <c r="D263" s="4">
        <v>3473.44</v>
      </c>
      <c r="E263" s="26">
        <v>45145</v>
      </c>
      <c r="F263" s="5" t="str" cm="1">
        <f t="array" ref="F263">_xlfn.IFS(D263 &gt;=5000, "A Kunde", D263 &gt;= 10000, "B Kunde", TRUE, "C Kunde")</f>
        <v>C Kunde</v>
      </c>
    </row>
    <row r="264" spans="1:6" x14ac:dyDescent="0.3">
      <c r="A264" t="s">
        <v>133</v>
      </c>
      <c r="B264" t="s">
        <v>128</v>
      </c>
      <c r="C264">
        <v>2025</v>
      </c>
      <c r="D264" s="4">
        <v>8132.4</v>
      </c>
      <c r="E264" s="26">
        <v>45662</v>
      </c>
      <c r="F264" s="5" t="str" cm="1">
        <f t="array" ref="F264">_xlfn.IFS(D264 &gt;=5000, "A Kunde", D264 &gt;= 10000, "B Kunde", TRUE, "C Kunde")</f>
        <v>A Kunde</v>
      </c>
    </row>
    <row r="265" spans="1:6" x14ac:dyDescent="0.3">
      <c r="A265" t="s">
        <v>130</v>
      </c>
      <c r="B265" t="s">
        <v>116</v>
      </c>
      <c r="C265">
        <v>2023</v>
      </c>
      <c r="D265" s="4">
        <v>13695.63</v>
      </c>
      <c r="E265" s="26">
        <v>44971</v>
      </c>
      <c r="F265" s="5" t="str" cm="1">
        <f t="array" ref="F265">_xlfn.IFS(D265 &gt;=5000, "A Kunde", D265 &gt;= 10000, "B Kunde", TRUE, "C Kunde")</f>
        <v>A Kunde</v>
      </c>
    </row>
    <row r="266" spans="1:6" x14ac:dyDescent="0.3">
      <c r="A266" t="s">
        <v>155</v>
      </c>
      <c r="B266" t="s">
        <v>128</v>
      </c>
      <c r="C266">
        <v>2024</v>
      </c>
      <c r="D266" s="4">
        <v>311.75</v>
      </c>
      <c r="E266" s="26">
        <v>45489</v>
      </c>
      <c r="F266" s="5" t="str" cm="1">
        <f t="array" ref="F266">_xlfn.IFS(D266 &gt;=5000, "A Kunde", D266 &gt;= 10000, "B Kunde", TRUE, "C Kunde")</f>
        <v>C Kunde</v>
      </c>
    </row>
    <row r="267" spans="1:6" x14ac:dyDescent="0.3">
      <c r="A267" t="s">
        <v>115</v>
      </c>
      <c r="B267" t="s">
        <v>116</v>
      </c>
      <c r="C267">
        <v>2025</v>
      </c>
      <c r="D267" s="4">
        <v>11693.18</v>
      </c>
      <c r="E267" s="26">
        <v>45944</v>
      </c>
      <c r="F267" s="5" t="str" cm="1">
        <f t="array" ref="F267">_xlfn.IFS(D267 &gt;=5000, "A Kunde", D267 &gt;= 10000, "B Kunde", TRUE, "C Kunde")</f>
        <v>A Kunde</v>
      </c>
    </row>
    <row r="268" spans="1:6" x14ac:dyDescent="0.3">
      <c r="A268" t="s">
        <v>130</v>
      </c>
      <c r="B268" t="s">
        <v>116</v>
      </c>
      <c r="C268">
        <v>2024</v>
      </c>
      <c r="D268" s="4">
        <v>8577.5</v>
      </c>
      <c r="E268" s="26">
        <v>45398</v>
      </c>
      <c r="F268" s="5" t="str" cm="1">
        <f t="array" ref="F268">_xlfn.IFS(D268 &gt;=5000, "A Kunde", D268 &gt;= 10000, "B Kunde", TRUE, "C Kunde")</f>
        <v>A Kunde</v>
      </c>
    </row>
    <row r="269" spans="1:6" x14ac:dyDescent="0.3">
      <c r="A269" t="s">
        <v>139</v>
      </c>
      <c r="B269" t="s">
        <v>120</v>
      </c>
      <c r="C269">
        <v>2024</v>
      </c>
      <c r="D269" s="4">
        <v>8985.33</v>
      </c>
      <c r="E269" s="26">
        <v>45375</v>
      </c>
      <c r="F269" s="5" t="str" cm="1">
        <f t="array" ref="F269">_xlfn.IFS(D269 &gt;=5000, "A Kunde", D269 &gt;= 10000, "B Kunde", TRUE, "C Kunde")</f>
        <v>A Kunde</v>
      </c>
    </row>
    <row r="270" spans="1:6" x14ac:dyDescent="0.3">
      <c r="A270" t="s">
        <v>153</v>
      </c>
      <c r="B270" t="s">
        <v>122</v>
      </c>
      <c r="C270">
        <v>2024</v>
      </c>
      <c r="D270" s="4">
        <v>9553.15</v>
      </c>
      <c r="E270" s="26">
        <v>45440</v>
      </c>
      <c r="F270" s="5" t="str" cm="1">
        <f t="array" ref="F270">_xlfn.IFS(D270 &gt;=5000, "A Kunde", D270 &gt;= 10000, "B Kunde", TRUE, "C Kunde")</f>
        <v>A Kunde</v>
      </c>
    </row>
    <row r="271" spans="1:6" x14ac:dyDescent="0.3">
      <c r="A271" t="s">
        <v>137</v>
      </c>
      <c r="B271" t="s">
        <v>128</v>
      </c>
      <c r="C271">
        <v>2023</v>
      </c>
      <c r="D271" s="4">
        <v>12666.97</v>
      </c>
      <c r="E271" s="26">
        <v>45125</v>
      </c>
      <c r="F271" s="5" t="str" cm="1">
        <f t="array" ref="F271">_xlfn.IFS(D271 &gt;=5000, "A Kunde", D271 &gt;= 10000, "B Kunde", TRUE, "C Kunde")</f>
        <v>A Kunde</v>
      </c>
    </row>
    <row r="272" spans="1:6" x14ac:dyDescent="0.3">
      <c r="A272" t="s">
        <v>134</v>
      </c>
      <c r="B272" t="s">
        <v>120</v>
      </c>
      <c r="C272">
        <v>2024</v>
      </c>
      <c r="D272" s="4">
        <v>11082.82</v>
      </c>
      <c r="E272" s="26">
        <v>45559</v>
      </c>
      <c r="F272" s="5" t="str" cm="1">
        <f t="array" ref="F272">_xlfn.IFS(D272 &gt;=5000, "A Kunde", D272 &gt;= 10000, "B Kunde", TRUE, "C Kunde")</f>
        <v>A Kunde</v>
      </c>
    </row>
    <row r="273" spans="1:6" x14ac:dyDescent="0.3">
      <c r="A273" t="s">
        <v>134</v>
      </c>
      <c r="B273" t="s">
        <v>120</v>
      </c>
      <c r="C273">
        <v>2025</v>
      </c>
      <c r="D273" s="4">
        <v>10306.56</v>
      </c>
      <c r="E273" s="26">
        <v>45674</v>
      </c>
      <c r="F273" s="5" t="str" cm="1">
        <f t="array" ref="F273">_xlfn.IFS(D273 &gt;=5000, "A Kunde", D273 &gt;= 10000, "B Kunde", TRUE, "C Kunde")</f>
        <v>A Kunde</v>
      </c>
    </row>
    <row r="274" spans="1:6" x14ac:dyDescent="0.3">
      <c r="A274" t="s">
        <v>158</v>
      </c>
      <c r="B274" t="s">
        <v>120</v>
      </c>
      <c r="C274">
        <v>2024</v>
      </c>
      <c r="D274" s="4">
        <v>4708.72</v>
      </c>
      <c r="E274" s="26">
        <v>45531</v>
      </c>
      <c r="F274" s="5" t="str" cm="1">
        <f t="array" ref="F274">_xlfn.IFS(D274 &gt;=5000, "A Kunde", D274 &gt;= 10000, "B Kunde", TRUE, "C Kunde")</f>
        <v>C Kunde</v>
      </c>
    </row>
    <row r="275" spans="1:6" x14ac:dyDescent="0.3">
      <c r="A275" t="s">
        <v>148</v>
      </c>
      <c r="B275" t="s">
        <v>120</v>
      </c>
      <c r="C275">
        <v>2023</v>
      </c>
      <c r="D275" s="4">
        <v>2970.97</v>
      </c>
      <c r="E275" s="26">
        <v>45286</v>
      </c>
      <c r="F275" s="5" t="str" cm="1">
        <f t="array" ref="F275">_xlfn.IFS(D275 &gt;=5000, "A Kunde", D275 &gt;= 10000, "B Kunde", TRUE, "C Kunde")</f>
        <v>C Kunde</v>
      </c>
    </row>
    <row r="276" spans="1:6" x14ac:dyDescent="0.3">
      <c r="A276" t="s">
        <v>124</v>
      </c>
      <c r="B276" t="s">
        <v>120</v>
      </c>
      <c r="C276">
        <v>2025</v>
      </c>
      <c r="D276" s="4">
        <v>7525.76</v>
      </c>
      <c r="E276" s="26">
        <v>45676</v>
      </c>
      <c r="F276" s="5" t="str" cm="1">
        <f t="array" ref="F276">_xlfn.IFS(D276 &gt;=5000, "A Kunde", D276 &gt;= 10000, "B Kunde", TRUE, "C Kunde")</f>
        <v>A Kunde</v>
      </c>
    </row>
    <row r="277" spans="1:6" x14ac:dyDescent="0.3">
      <c r="A277" t="s">
        <v>154</v>
      </c>
      <c r="B277" t="s">
        <v>128</v>
      </c>
      <c r="C277">
        <v>2023</v>
      </c>
      <c r="D277" s="4">
        <v>3746.19</v>
      </c>
      <c r="E277" s="26">
        <v>45263</v>
      </c>
      <c r="F277" s="5" t="str" cm="1">
        <f t="array" ref="F277">_xlfn.IFS(D277 &gt;=5000, "A Kunde", D277 &gt;= 10000, "B Kunde", TRUE, "C Kunde")</f>
        <v>C Kunde</v>
      </c>
    </row>
    <row r="278" spans="1:6" x14ac:dyDescent="0.3">
      <c r="A278" t="s">
        <v>126</v>
      </c>
      <c r="B278" t="s">
        <v>116</v>
      </c>
      <c r="C278">
        <v>2024</v>
      </c>
      <c r="D278" s="4">
        <v>10502.52</v>
      </c>
      <c r="E278" s="26">
        <v>45531</v>
      </c>
      <c r="F278" s="5" t="str" cm="1">
        <f t="array" ref="F278">_xlfn.IFS(D278 &gt;=5000, "A Kunde", D278 &gt;= 10000, "B Kunde", TRUE, "C Kunde")</f>
        <v>A Kunde</v>
      </c>
    </row>
    <row r="279" spans="1:6" x14ac:dyDescent="0.3">
      <c r="A279" t="s">
        <v>117</v>
      </c>
      <c r="B279" t="s">
        <v>116</v>
      </c>
      <c r="C279">
        <v>2023</v>
      </c>
      <c r="D279" s="4">
        <v>6662.97</v>
      </c>
      <c r="E279" s="26">
        <v>45162</v>
      </c>
      <c r="F279" s="5" t="str" cm="1">
        <f t="array" ref="F279">_xlfn.IFS(D279 &gt;=5000, "A Kunde", D279 &gt;= 10000, "B Kunde", TRUE, "C Kunde")</f>
        <v>A Kunde</v>
      </c>
    </row>
    <row r="280" spans="1:6" x14ac:dyDescent="0.3">
      <c r="A280" t="s">
        <v>121</v>
      </c>
      <c r="B280" t="s">
        <v>122</v>
      </c>
      <c r="C280">
        <v>2023</v>
      </c>
      <c r="D280" s="4">
        <v>10607.29</v>
      </c>
      <c r="E280" s="26">
        <v>45215</v>
      </c>
      <c r="F280" s="5" t="str" cm="1">
        <f t="array" ref="F280">_xlfn.IFS(D280 &gt;=5000, "A Kunde", D280 &gt;= 10000, "B Kunde", TRUE, "C Kunde")</f>
        <v>A Kunde</v>
      </c>
    </row>
    <row r="281" spans="1:6" x14ac:dyDescent="0.3">
      <c r="A281" t="s">
        <v>147</v>
      </c>
      <c r="B281" t="s">
        <v>120</v>
      </c>
      <c r="C281">
        <v>2025</v>
      </c>
      <c r="D281" s="4">
        <v>13548.32</v>
      </c>
      <c r="E281" s="26">
        <v>45740</v>
      </c>
      <c r="F281" s="5" t="str" cm="1">
        <f t="array" ref="F281">_xlfn.IFS(D281 &gt;=5000, "A Kunde", D281 &gt;= 10000, "B Kunde", TRUE, "C Kunde")</f>
        <v>A Kunde</v>
      </c>
    </row>
    <row r="282" spans="1:6" x14ac:dyDescent="0.3">
      <c r="A282" t="s">
        <v>123</v>
      </c>
      <c r="B282" t="s">
        <v>120</v>
      </c>
      <c r="C282">
        <v>2025</v>
      </c>
      <c r="D282" s="4">
        <v>1446.18</v>
      </c>
      <c r="E282" s="26">
        <v>45676</v>
      </c>
      <c r="F282" s="5" t="str" cm="1">
        <f t="array" ref="F282">_xlfn.IFS(D282 &gt;=5000, "A Kunde", D282 &gt;= 10000, "B Kunde", TRUE, "C Kunde")</f>
        <v>C Kunde</v>
      </c>
    </row>
    <row r="283" spans="1:6" x14ac:dyDescent="0.3">
      <c r="A283" t="s">
        <v>155</v>
      </c>
      <c r="B283" t="s">
        <v>128</v>
      </c>
      <c r="C283">
        <v>2023</v>
      </c>
      <c r="D283" s="4">
        <v>3849.53</v>
      </c>
      <c r="E283" s="26">
        <v>44955</v>
      </c>
      <c r="F283" s="5" t="str" cm="1">
        <f t="array" ref="F283">_xlfn.IFS(D283 &gt;=5000, "A Kunde", D283 &gt;= 10000, "B Kunde", TRUE, "C Kunde")</f>
        <v>C Kunde</v>
      </c>
    </row>
    <row r="284" spans="1:6" x14ac:dyDescent="0.3">
      <c r="A284" t="s">
        <v>145</v>
      </c>
      <c r="B284" t="s">
        <v>120</v>
      </c>
      <c r="C284">
        <v>2025</v>
      </c>
      <c r="D284" s="4">
        <v>5286.48</v>
      </c>
      <c r="E284" s="26">
        <v>45858</v>
      </c>
      <c r="F284" s="5" t="str" cm="1">
        <f t="array" ref="F284">_xlfn.IFS(D284 &gt;=5000, "A Kunde", D284 &gt;= 10000, "B Kunde", TRUE, "C Kunde")</f>
        <v>A Kunde</v>
      </c>
    </row>
    <row r="285" spans="1:6" x14ac:dyDescent="0.3">
      <c r="A285" t="s">
        <v>135</v>
      </c>
      <c r="B285" t="s">
        <v>116</v>
      </c>
      <c r="C285">
        <v>2025</v>
      </c>
      <c r="D285" s="4">
        <v>11549.36</v>
      </c>
      <c r="E285" s="26">
        <v>45707</v>
      </c>
      <c r="F285" s="5" t="str" cm="1">
        <f t="array" ref="F285">_xlfn.IFS(D285 &gt;=5000, "A Kunde", D285 &gt;= 10000, "B Kunde", TRUE, "C Kunde")</f>
        <v>A Kunde</v>
      </c>
    </row>
    <row r="286" spans="1:6" x14ac:dyDescent="0.3">
      <c r="A286" t="s">
        <v>140</v>
      </c>
      <c r="B286" t="s">
        <v>128</v>
      </c>
      <c r="C286">
        <v>2023</v>
      </c>
      <c r="D286" s="4">
        <v>9512.74</v>
      </c>
      <c r="E286" s="26">
        <v>45148</v>
      </c>
      <c r="F286" s="5" t="str" cm="1">
        <f t="array" ref="F286">_xlfn.IFS(D286 &gt;=5000, "A Kunde", D286 &gt;= 10000, "B Kunde", TRUE, "C Kunde")</f>
        <v>A Kunde</v>
      </c>
    </row>
    <row r="287" spans="1:6" x14ac:dyDescent="0.3">
      <c r="A287" t="s">
        <v>126</v>
      </c>
      <c r="B287" t="s">
        <v>116</v>
      </c>
      <c r="C287">
        <v>2023</v>
      </c>
      <c r="D287" s="4">
        <v>8749.75</v>
      </c>
      <c r="E287" s="26">
        <v>44978</v>
      </c>
      <c r="F287" s="5" t="str" cm="1">
        <f t="array" ref="F287">_xlfn.IFS(D287 &gt;=5000, "A Kunde", D287 &gt;= 10000, "B Kunde", TRUE, "C Kunde")</f>
        <v>A Kunde</v>
      </c>
    </row>
    <row r="288" spans="1:6" x14ac:dyDescent="0.3">
      <c r="A288" t="s">
        <v>123</v>
      </c>
      <c r="B288" t="s">
        <v>120</v>
      </c>
      <c r="C288">
        <v>2024</v>
      </c>
      <c r="D288" s="4">
        <v>12830.53</v>
      </c>
      <c r="E288" s="26">
        <v>45598</v>
      </c>
      <c r="F288" s="5" t="str" cm="1">
        <f t="array" ref="F288">_xlfn.IFS(D288 &gt;=5000, "A Kunde", D288 &gt;= 10000, "B Kunde", TRUE, "C Kunde")</f>
        <v>A Kunde</v>
      </c>
    </row>
    <row r="289" spans="1:6" x14ac:dyDescent="0.3">
      <c r="A289" t="s">
        <v>147</v>
      </c>
      <c r="B289" t="s">
        <v>120</v>
      </c>
      <c r="C289">
        <v>2023</v>
      </c>
      <c r="D289" s="4">
        <v>8968.57</v>
      </c>
      <c r="E289" s="26">
        <v>45056</v>
      </c>
      <c r="F289" s="5" t="str" cm="1">
        <f t="array" ref="F289">_xlfn.IFS(D289 &gt;=5000, "A Kunde", D289 &gt;= 10000, "B Kunde", TRUE, "C Kunde")</f>
        <v>A Kunde</v>
      </c>
    </row>
    <row r="290" spans="1:6" x14ac:dyDescent="0.3">
      <c r="A290" t="s">
        <v>129</v>
      </c>
      <c r="B290" t="s">
        <v>120</v>
      </c>
      <c r="C290">
        <v>2024</v>
      </c>
      <c r="D290" s="4">
        <v>9159.5</v>
      </c>
      <c r="E290" s="26">
        <v>45545</v>
      </c>
      <c r="F290" s="5" t="str" cm="1">
        <f t="array" ref="F290">_xlfn.IFS(D290 &gt;=5000, "A Kunde", D290 &gt;= 10000, "B Kunde", TRUE, "C Kunde")</f>
        <v>A Kunde</v>
      </c>
    </row>
    <row r="291" spans="1:6" x14ac:dyDescent="0.3">
      <c r="A291" t="s">
        <v>145</v>
      </c>
      <c r="B291" t="s">
        <v>120</v>
      </c>
      <c r="C291">
        <v>2023</v>
      </c>
      <c r="D291" s="4">
        <v>825.79</v>
      </c>
      <c r="E291" s="26">
        <v>45213</v>
      </c>
      <c r="F291" s="5" t="str" cm="1">
        <f t="array" ref="F291">_xlfn.IFS(D291 &gt;=5000, "A Kunde", D291 &gt;= 10000, "B Kunde", TRUE, "C Kunde")</f>
        <v>C Kunde</v>
      </c>
    </row>
    <row r="292" spans="1:6" x14ac:dyDescent="0.3">
      <c r="A292" t="s">
        <v>134</v>
      </c>
      <c r="B292" t="s">
        <v>120</v>
      </c>
      <c r="C292">
        <v>2024</v>
      </c>
      <c r="D292" s="4">
        <v>13943.8</v>
      </c>
      <c r="E292" s="26">
        <v>45550</v>
      </c>
      <c r="F292" s="5" t="str" cm="1">
        <f t="array" ref="F292">_xlfn.IFS(D292 &gt;=5000, "A Kunde", D292 &gt;= 10000, "B Kunde", TRUE, "C Kunde")</f>
        <v>A Kunde</v>
      </c>
    </row>
    <row r="293" spans="1:6" x14ac:dyDescent="0.3">
      <c r="A293" t="s">
        <v>145</v>
      </c>
      <c r="B293" t="s">
        <v>120</v>
      </c>
      <c r="C293">
        <v>2023</v>
      </c>
      <c r="D293" s="4">
        <v>3440.24</v>
      </c>
      <c r="E293" s="26">
        <v>45126</v>
      </c>
      <c r="F293" s="5" t="str" cm="1">
        <f t="array" ref="F293">_xlfn.IFS(D293 &gt;=5000, "A Kunde", D293 &gt;= 10000, "B Kunde", TRUE, "C Kunde")</f>
        <v>C Kunde</v>
      </c>
    </row>
    <row r="294" spans="1:6" x14ac:dyDescent="0.3">
      <c r="A294" t="s">
        <v>124</v>
      </c>
      <c r="B294" t="s">
        <v>120</v>
      </c>
      <c r="C294">
        <v>2023</v>
      </c>
      <c r="D294" s="4">
        <v>5563.31</v>
      </c>
      <c r="E294" s="26">
        <v>45204</v>
      </c>
      <c r="F294" s="5" t="str" cm="1">
        <f t="array" ref="F294">_xlfn.IFS(D294 &gt;=5000, "A Kunde", D294 &gt;= 10000, "B Kunde", TRUE, "C Kunde")</f>
        <v>A Kunde</v>
      </c>
    </row>
    <row r="295" spans="1:6" x14ac:dyDescent="0.3">
      <c r="A295" t="s">
        <v>140</v>
      </c>
      <c r="B295" t="s">
        <v>128</v>
      </c>
      <c r="C295">
        <v>2025</v>
      </c>
      <c r="D295" s="4">
        <v>8305.2999999999993</v>
      </c>
      <c r="E295" s="26">
        <v>45785</v>
      </c>
      <c r="F295" s="5" t="str" cm="1">
        <f t="array" ref="F295">_xlfn.IFS(D295 &gt;=5000, "A Kunde", D295 &gt;= 10000, "B Kunde", TRUE, "C Kunde")</f>
        <v>A Kunde</v>
      </c>
    </row>
    <row r="296" spans="1:6" x14ac:dyDescent="0.3">
      <c r="A296" t="s">
        <v>146</v>
      </c>
      <c r="B296" t="s">
        <v>128</v>
      </c>
      <c r="C296">
        <v>2025</v>
      </c>
      <c r="D296" s="4">
        <v>9237.92</v>
      </c>
      <c r="E296" s="26">
        <v>45776</v>
      </c>
      <c r="F296" s="5" t="str" cm="1">
        <f t="array" ref="F296">_xlfn.IFS(D296 &gt;=5000, "A Kunde", D296 &gt;= 10000, "B Kunde", TRUE, "C Kunde")</f>
        <v>A Kunde</v>
      </c>
    </row>
    <row r="297" spans="1:6" x14ac:dyDescent="0.3">
      <c r="A297" t="s">
        <v>156</v>
      </c>
      <c r="B297" t="s">
        <v>128</v>
      </c>
      <c r="C297">
        <v>2025</v>
      </c>
      <c r="D297" s="4">
        <v>13158.93</v>
      </c>
      <c r="E297" s="26">
        <v>45762</v>
      </c>
      <c r="F297" s="5" t="str" cm="1">
        <f t="array" ref="F297">_xlfn.IFS(D297 &gt;=5000, "A Kunde", D297 &gt;= 10000, "B Kunde", TRUE, "C Kunde")</f>
        <v>A Kunde</v>
      </c>
    </row>
    <row r="298" spans="1:6" x14ac:dyDescent="0.3">
      <c r="A298" t="s">
        <v>154</v>
      </c>
      <c r="B298" t="s">
        <v>128</v>
      </c>
      <c r="C298">
        <v>2023</v>
      </c>
      <c r="D298" s="4">
        <v>9725.8700000000008</v>
      </c>
      <c r="E298" s="26">
        <v>44994</v>
      </c>
      <c r="F298" s="5" t="str" cm="1">
        <f t="array" ref="F298">_xlfn.IFS(D298 &gt;=5000, "A Kunde", D298 &gt;= 10000, "B Kunde", TRUE, "C Kunde")</f>
        <v>A Kunde</v>
      </c>
    </row>
    <row r="299" spans="1:6" x14ac:dyDescent="0.3">
      <c r="A299" t="s">
        <v>138</v>
      </c>
      <c r="B299" t="s">
        <v>122</v>
      </c>
      <c r="C299">
        <v>2025</v>
      </c>
      <c r="D299" s="4">
        <v>6336.8</v>
      </c>
      <c r="E299" s="26">
        <v>45835</v>
      </c>
      <c r="F299" s="5" t="str" cm="1">
        <f t="array" ref="F299">_xlfn.IFS(D299 &gt;=5000, "A Kunde", D299 &gt;= 10000, "B Kunde", TRUE, "C Kunde")</f>
        <v>A Kunde</v>
      </c>
    </row>
    <row r="300" spans="1:6" x14ac:dyDescent="0.3">
      <c r="A300" t="s">
        <v>125</v>
      </c>
      <c r="B300" t="s">
        <v>122</v>
      </c>
      <c r="C300">
        <v>2025</v>
      </c>
      <c r="D300" s="4">
        <v>1571.09</v>
      </c>
      <c r="E300" s="26">
        <v>45669</v>
      </c>
      <c r="F300" s="5" t="str" cm="1">
        <f t="array" ref="F300">_xlfn.IFS(D300 &gt;=5000, "A Kunde", D300 &gt;= 10000, "B Kunde", TRUE, "C Kunde")</f>
        <v>C Kunde</v>
      </c>
    </row>
    <row r="301" spans="1:6" x14ac:dyDescent="0.3">
      <c r="A301" t="s">
        <v>140</v>
      </c>
      <c r="B301" t="s">
        <v>128</v>
      </c>
      <c r="C301">
        <v>2025</v>
      </c>
      <c r="D301" s="4">
        <v>1035.5899999999999</v>
      </c>
      <c r="E301" s="26">
        <v>45661</v>
      </c>
      <c r="F301" s="5" t="str" cm="1">
        <f t="array" ref="F301">_xlfn.IFS(D301 &gt;=5000, "A Kunde", D301 &gt;= 10000, "B Kunde", TRUE, "C Kunde")</f>
        <v>C Kunde</v>
      </c>
    </row>
    <row r="302" spans="1:6" x14ac:dyDescent="0.3">
      <c r="A302" t="s">
        <v>154</v>
      </c>
      <c r="B302" t="s">
        <v>128</v>
      </c>
      <c r="C302">
        <v>2024</v>
      </c>
      <c r="D302" s="4">
        <v>13561.25</v>
      </c>
      <c r="E302" s="26">
        <v>45315</v>
      </c>
      <c r="F302" s="5" t="str" cm="1">
        <f t="array" ref="F302">_xlfn.IFS(D302 &gt;=5000, "A Kunde", D302 &gt;= 10000, "B Kunde", TRUE, "C Kunde")</f>
        <v>A Kunde</v>
      </c>
    </row>
    <row r="303" spans="1:6" x14ac:dyDescent="0.3">
      <c r="A303" t="s">
        <v>129</v>
      </c>
      <c r="B303" t="s">
        <v>120</v>
      </c>
      <c r="C303">
        <v>2023</v>
      </c>
      <c r="D303" s="4">
        <v>9346.2099999999991</v>
      </c>
      <c r="E303" s="26">
        <v>45114</v>
      </c>
      <c r="F303" s="5" t="str" cm="1">
        <f t="array" ref="F303">_xlfn.IFS(D303 &gt;=5000, "A Kunde", D303 &gt;= 10000, "B Kunde", TRUE, "C Kunde")</f>
        <v>A Kunde</v>
      </c>
    </row>
    <row r="304" spans="1:6" x14ac:dyDescent="0.3">
      <c r="A304" t="s">
        <v>143</v>
      </c>
      <c r="B304" t="s">
        <v>122</v>
      </c>
      <c r="C304">
        <v>2023</v>
      </c>
      <c r="D304" s="4">
        <v>897.98</v>
      </c>
      <c r="E304" s="26">
        <v>44970</v>
      </c>
      <c r="F304" s="5" t="str" cm="1">
        <f t="array" ref="F304">_xlfn.IFS(D304 &gt;=5000, "A Kunde", D304 &gt;= 10000, "B Kunde", TRUE, "C Kunde")</f>
        <v>C Kunde</v>
      </c>
    </row>
    <row r="305" spans="1:6" x14ac:dyDescent="0.3">
      <c r="A305" t="s">
        <v>117</v>
      </c>
      <c r="B305" t="s">
        <v>116</v>
      </c>
      <c r="C305">
        <v>2024</v>
      </c>
      <c r="D305" s="4">
        <v>13845.73</v>
      </c>
      <c r="E305" s="26">
        <v>45425</v>
      </c>
      <c r="F305" s="5" t="str" cm="1">
        <f t="array" ref="F305">_xlfn.IFS(D305 &gt;=5000, "A Kunde", D305 &gt;= 10000, "B Kunde", TRUE, "C Kunde")</f>
        <v>A Kunde</v>
      </c>
    </row>
    <row r="306" spans="1:6" x14ac:dyDescent="0.3">
      <c r="A306" t="s">
        <v>133</v>
      </c>
      <c r="B306" t="s">
        <v>128</v>
      </c>
      <c r="C306">
        <v>2024</v>
      </c>
      <c r="D306" s="4">
        <v>1146.82</v>
      </c>
      <c r="E306" s="26">
        <v>45347</v>
      </c>
      <c r="F306" s="5" t="str" cm="1">
        <f t="array" ref="F306">_xlfn.IFS(D306 &gt;=5000, "A Kunde", D306 &gt;= 10000, "B Kunde", TRUE, "C Kunde")</f>
        <v>C Kunde</v>
      </c>
    </row>
    <row r="307" spans="1:6" x14ac:dyDescent="0.3">
      <c r="A307" t="s">
        <v>123</v>
      </c>
      <c r="B307" t="s">
        <v>120</v>
      </c>
      <c r="C307">
        <v>2024</v>
      </c>
      <c r="D307" s="4">
        <v>8292.09</v>
      </c>
      <c r="E307" s="26">
        <v>45351</v>
      </c>
      <c r="F307" s="5" t="str" cm="1">
        <f t="array" ref="F307">_xlfn.IFS(D307 &gt;=5000, "A Kunde", D307 &gt;= 10000, "B Kunde", TRUE, "C Kunde")</f>
        <v>A Kunde</v>
      </c>
    </row>
    <row r="308" spans="1:6" x14ac:dyDescent="0.3">
      <c r="A308" t="s">
        <v>147</v>
      </c>
      <c r="B308" t="s">
        <v>120</v>
      </c>
      <c r="C308">
        <v>2024</v>
      </c>
      <c r="D308" s="4">
        <v>10886.29</v>
      </c>
      <c r="E308" s="26">
        <v>45599</v>
      </c>
      <c r="F308" s="5" t="str" cm="1">
        <f t="array" ref="F308">_xlfn.IFS(D308 &gt;=5000, "A Kunde", D308 &gt;= 10000, "B Kunde", TRUE, "C Kunde")</f>
        <v>A Kunde</v>
      </c>
    </row>
    <row r="309" spans="1:6" x14ac:dyDescent="0.3">
      <c r="A309" t="s">
        <v>143</v>
      </c>
      <c r="B309" t="s">
        <v>122</v>
      </c>
      <c r="C309">
        <v>2023</v>
      </c>
      <c r="D309" s="4">
        <v>4026.39</v>
      </c>
      <c r="E309" s="26">
        <v>44932</v>
      </c>
      <c r="F309" s="5" t="str" cm="1">
        <f t="array" ref="F309">_xlfn.IFS(D309 &gt;=5000, "A Kunde", D309 &gt;= 10000, "B Kunde", TRUE, "C Kunde")</f>
        <v>C Kunde</v>
      </c>
    </row>
    <row r="310" spans="1:6" x14ac:dyDescent="0.3">
      <c r="A310" t="s">
        <v>146</v>
      </c>
      <c r="B310" t="s">
        <v>128</v>
      </c>
      <c r="C310">
        <v>2023</v>
      </c>
      <c r="D310" s="4">
        <v>7654.97</v>
      </c>
      <c r="E310" s="26">
        <v>45193</v>
      </c>
      <c r="F310" s="5" t="str" cm="1">
        <f t="array" ref="F310">_xlfn.IFS(D310 &gt;=5000, "A Kunde", D310 &gt;= 10000, "B Kunde", TRUE, "C Kunde")</f>
        <v>A Kunde</v>
      </c>
    </row>
    <row r="311" spans="1:6" x14ac:dyDescent="0.3">
      <c r="A311" t="s">
        <v>119</v>
      </c>
      <c r="B311" t="s">
        <v>120</v>
      </c>
      <c r="C311">
        <v>2023</v>
      </c>
      <c r="D311" s="4">
        <v>9322.6</v>
      </c>
      <c r="E311" s="26">
        <v>45152</v>
      </c>
      <c r="F311" s="5" t="str" cm="1">
        <f t="array" ref="F311">_xlfn.IFS(D311 &gt;=5000, "A Kunde", D311 &gt;= 10000, "B Kunde", TRUE, "C Kunde")</f>
        <v>A Kunde</v>
      </c>
    </row>
    <row r="312" spans="1:6" x14ac:dyDescent="0.3">
      <c r="A312" t="s">
        <v>159</v>
      </c>
      <c r="B312" t="s">
        <v>116</v>
      </c>
      <c r="C312">
        <v>2023</v>
      </c>
      <c r="D312" s="4">
        <v>405.07</v>
      </c>
      <c r="E312" s="26">
        <v>45196</v>
      </c>
      <c r="F312" s="5" t="str" cm="1">
        <f t="array" ref="F312">_xlfn.IFS(D312 &gt;=5000, "A Kunde", D312 &gt;= 10000, "B Kunde", TRUE, "C Kunde")</f>
        <v>C Kunde</v>
      </c>
    </row>
    <row r="313" spans="1:6" x14ac:dyDescent="0.3">
      <c r="A313" t="s">
        <v>125</v>
      </c>
      <c r="B313" t="s">
        <v>122</v>
      </c>
      <c r="C313">
        <v>2024</v>
      </c>
      <c r="D313" s="4">
        <v>417.78</v>
      </c>
      <c r="E313" s="26">
        <v>45590</v>
      </c>
      <c r="F313" s="5" t="str" cm="1">
        <f t="array" ref="F313">_xlfn.IFS(D313 &gt;=5000, "A Kunde", D313 &gt;= 10000, "B Kunde", TRUE, "C Kunde")</f>
        <v>C Kunde</v>
      </c>
    </row>
    <row r="314" spans="1:6" x14ac:dyDescent="0.3">
      <c r="A314" t="s">
        <v>135</v>
      </c>
      <c r="B314" t="s">
        <v>116</v>
      </c>
      <c r="C314">
        <v>2023</v>
      </c>
      <c r="D314" s="4">
        <v>1949.27</v>
      </c>
      <c r="E314" s="26">
        <v>45034</v>
      </c>
      <c r="F314" s="5" t="str" cm="1">
        <f t="array" ref="F314">_xlfn.IFS(D314 &gt;=5000, "A Kunde", D314 &gt;= 10000, "B Kunde", TRUE, "C Kunde")</f>
        <v>C Kunde</v>
      </c>
    </row>
    <row r="315" spans="1:6" x14ac:dyDescent="0.3">
      <c r="A315" t="s">
        <v>148</v>
      </c>
      <c r="B315" t="s">
        <v>120</v>
      </c>
      <c r="C315">
        <v>2025</v>
      </c>
      <c r="D315" s="4">
        <v>1768.36</v>
      </c>
      <c r="E315" s="26">
        <v>46004</v>
      </c>
      <c r="F315" s="5" t="str" cm="1">
        <f t="array" ref="F315">_xlfn.IFS(D315 &gt;=5000, "A Kunde", D315 &gt;= 10000, "B Kunde", TRUE, "C Kunde")</f>
        <v>C Kunde</v>
      </c>
    </row>
    <row r="316" spans="1:6" x14ac:dyDescent="0.3">
      <c r="A316" t="s">
        <v>121</v>
      </c>
      <c r="B316" t="s">
        <v>122</v>
      </c>
      <c r="C316">
        <v>2025</v>
      </c>
      <c r="D316" s="4">
        <v>6386.2</v>
      </c>
      <c r="E316" s="26">
        <v>45902</v>
      </c>
      <c r="F316" s="5" t="str" cm="1">
        <f t="array" ref="F316">_xlfn.IFS(D316 &gt;=5000, "A Kunde", D316 &gt;= 10000, "B Kunde", TRUE, "C Kunde")</f>
        <v>A Kunde</v>
      </c>
    </row>
    <row r="317" spans="1:6" x14ac:dyDescent="0.3">
      <c r="A317" t="s">
        <v>140</v>
      </c>
      <c r="B317" t="s">
        <v>128</v>
      </c>
      <c r="C317">
        <v>2025</v>
      </c>
      <c r="D317" s="4">
        <v>8392.59</v>
      </c>
      <c r="E317" s="26">
        <v>45978</v>
      </c>
      <c r="F317" s="5" t="str" cm="1">
        <f t="array" ref="F317">_xlfn.IFS(D317 &gt;=5000, "A Kunde", D317 &gt;= 10000, "B Kunde", TRUE, "C Kunde")</f>
        <v>A Kunde</v>
      </c>
    </row>
    <row r="318" spans="1:6" x14ac:dyDescent="0.3">
      <c r="A318" t="s">
        <v>151</v>
      </c>
      <c r="B318" t="s">
        <v>120</v>
      </c>
      <c r="C318">
        <v>2025</v>
      </c>
      <c r="D318" s="4">
        <v>3257.39</v>
      </c>
      <c r="E318" s="26">
        <v>45958</v>
      </c>
      <c r="F318" s="5" t="str" cm="1">
        <f t="array" ref="F318">_xlfn.IFS(D318 &gt;=5000, "A Kunde", D318 &gt;= 10000, "B Kunde", TRUE, "C Kunde")</f>
        <v>C Kunde</v>
      </c>
    </row>
    <row r="319" spans="1:6" x14ac:dyDescent="0.3">
      <c r="A319" t="s">
        <v>153</v>
      </c>
      <c r="B319" t="s">
        <v>122</v>
      </c>
      <c r="C319">
        <v>2023</v>
      </c>
      <c r="D319" s="4">
        <v>10235.950000000001</v>
      </c>
      <c r="E319" s="26">
        <v>45015</v>
      </c>
      <c r="F319" s="5" t="str" cm="1">
        <f t="array" ref="F319">_xlfn.IFS(D319 &gt;=5000, "A Kunde", D319 &gt;= 10000, "B Kunde", TRUE, "C Kunde")</f>
        <v>A Kunde</v>
      </c>
    </row>
    <row r="320" spans="1:6" x14ac:dyDescent="0.3">
      <c r="A320" t="s">
        <v>141</v>
      </c>
      <c r="B320" t="s">
        <v>116</v>
      </c>
      <c r="C320">
        <v>2024</v>
      </c>
      <c r="D320" s="4">
        <v>6520.99</v>
      </c>
      <c r="E320" s="26">
        <v>45544</v>
      </c>
      <c r="F320" s="5" t="str" cm="1">
        <f t="array" ref="F320">_xlfn.IFS(D320 &gt;=5000, "A Kunde", D320 &gt;= 10000, "B Kunde", TRUE, "C Kunde")</f>
        <v>A Kunde</v>
      </c>
    </row>
    <row r="321" spans="1:6" x14ac:dyDescent="0.3">
      <c r="A321" t="s">
        <v>159</v>
      </c>
      <c r="B321" t="s">
        <v>116</v>
      </c>
      <c r="C321">
        <v>2023</v>
      </c>
      <c r="D321" s="4">
        <v>13980.5</v>
      </c>
      <c r="E321" s="26">
        <v>45051</v>
      </c>
      <c r="F321" s="5" t="str" cm="1">
        <f t="array" ref="F321">_xlfn.IFS(D321 &gt;=5000, "A Kunde", D321 &gt;= 10000, "B Kunde", TRUE, "C Kunde")</f>
        <v>A Kunde</v>
      </c>
    </row>
    <row r="322" spans="1:6" x14ac:dyDescent="0.3">
      <c r="A322" t="s">
        <v>155</v>
      </c>
      <c r="B322" t="s">
        <v>128</v>
      </c>
      <c r="C322">
        <v>2025</v>
      </c>
      <c r="D322" s="4">
        <v>9668.15</v>
      </c>
      <c r="E322" s="26">
        <v>45800</v>
      </c>
      <c r="F322" s="5" t="str" cm="1">
        <f t="array" ref="F322">_xlfn.IFS(D322 &gt;=5000, "A Kunde", D322 &gt;= 10000, "B Kunde", TRUE, "C Kunde")</f>
        <v>A Kunde</v>
      </c>
    </row>
    <row r="323" spans="1:6" x14ac:dyDescent="0.3">
      <c r="A323" t="s">
        <v>156</v>
      </c>
      <c r="B323" t="s">
        <v>128</v>
      </c>
      <c r="C323">
        <v>2025</v>
      </c>
      <c r="D323" s="4">
        <v>1214.17</v>
      </c>
      <c r="E323" s="26">
        <v>45835</v>
      </c>
      <c r="F323" s="5" t="str" cm="1">
        <f t="array" ref="F323">_xlfn.IFS(D323 &gt;=5000, "A Kunde", D323 &gt;= 10000, "B Kunde", TRUE, "C Kunde")</f>
        <v>C Kunde</v>
      </c>
    </row>
    <row r="324" spans="1:6" x14ac:dyDescent="0.3">
      <c r="A324" t="s">
        <v>158</v>
      </c>
      <c r="B324" t="s">
        <v>120</v>
      </c>
      <c r="C324">
        <v>2024</v>
      </c>
      <c r="D324" s="4">
        <v>8594.5</v>
      </c>
      <c r="E324" s="26">
        <v>45586</v>
      </c>
      <c r="F324" s="5" t="str" cm="1">
        <f t="array" ref="F324">_xlfn.IFS(D324 &gt;=5000, "A Kunde", D324 &gt;= 10000, "B Kunde", TRUE, "C Kunde")</f>
        <v>A Kunde</v>
      </c>
    </row>
    <row r="325" spans="1:6" x14ac:dyDescent="0.3">
      <c r="A325" t="s">
        <v>121</v>
      </c>
      <c r="B325" t="s">
        <v>122</v>
      </c>
      <c r="C325">
        <v>2023</v>
      </c>
      <c r="D325" s="4">
        <v>3995.22</v>
      </c>
      <c r="E325" s="26">
        <v>45185</v>
      </c>
      <c r="F325" s="5" t="str" cm="1">
        <f t="array" ref="F325">_xlfn.IFS(D325 &gt;=5000, "A Kunde", D325 &gt;= 10000, "B Kunde", TRUE, "C Kunde")</f>
        <v>C Kunde</v>
      </c>
    </row>
    <row r="326" spans="1:6" x14ac:dyDescent="0.3">
      <c r="A326" t="s">
        <v>131</v>
      </c>
      <c r="B326" t="s">
        <v>122</v>
      </c>
      <c r="C326">
        <v>2024</v>
      </c>
      <c r="D326" s="4">
        <v>5456.48</v>
      </c>
      <c r="E326" s="26">
        <v>45592</v>
      </c>
      <c r="F326" s="5" t="str" cm="1">
        <f t="array" ref="F326">_xlfn.IFS(D326 &gt;=5000, "A Kunde", D326 &gt;= 10000, "B Kunde", TRUE, "C Kunde")</f>
        <v>A Kunde</v>
      </c>
    </row>
    <row r="327" spans="1:6" x14ac:dyDescent="0.3">
      <c r="A327" t="s">
        <v>143</v>
      </c>
      <c r="B327" t="s">
        <v>122</v>
      </c>
      <c r="C327">
        <v>2025</v>
      </c>
      <c r="D327" s="4">
        <v>4269.59</v>
      </c>
      <c r="E327" s="26">
        <v>46013</v>
      </c>
      <c r="F327" s="5" t="str" cm="1">
        <f t="array" ref="F327">_xlfn.IFS(D327 &gt;=5000, "A Kunde", D327 &gt;= 10000, "B Kunde", TRUE, "C Kunde")</f>
        <v>C Kunde</v>
      </c>
    </row>
    <row r="328" spans="1:6" x14ac:dyDescent="0.3">
      <c r="A328" t="s">
        <v>132</v>
      </c>
      <c r="B328" t="s">
        <v>128</v>
      </c>
      <c r="C328">
        <v>2025</v>
      </c>
      <c r="D328" s="4">
        <v>1568.66</v>
      </c>
      <c r="E328" s="26">
        <v>45808</v>
      </c>
      <c r="F328" s="5" t="str" cm="1">
        <f t="array" ref="F328">_xlfn.IFS(D328 &gt;=5000, "A Kunde", D328 &gt;= 10000, "B Kunde", TRUE, "C Kunde")</f>
        <v>C Kunde</v>
      </c>
    </row>
    <row r="329" spans="1:6" x14ac:dyDescent="0.3">
      <c r="A329" t="s">
        <v>145</v>
      </c>
      <c r="B329" t="s">
        <v>120</v>
      </c>
      <c r="C329">
        <v>2024</v>
      </c>
      <c r="D329" s="4">
        <v>6134.97</v>
      </c>
      <c r="E329" s="26">
        <v>45367</v>
      </c>
      <c r="F329" s="5" t="str" cm="1">
        <f t="array" ref="F329">_xlfn.IFS(D329 &gt;=5000, "A Kunde", D329 &gt;= 10000, "B Kunde", TRUE, "C Kunde")</f>
        <v>A Kunde</v>
      </c>
    </row>
    <row r="330" spans="1:6" x14ac:dyDescent="0.3">
      <c r="A330" t="s">
        <v>147</v>
      </c>
      <c r="B330" t="s">
        <v>120</v>
      </c>
      <c r="C330">
        <v>2025</v>
      </c>
      <c r="D330" s="4">
        <v>4877.26</v>
      </c>
      <c r="E330" s="26">
        <v>45774</v>
      </c>
      <c r="F330" s="5" t="str" cm="1">
        <f t="array" ref="F330">_xlfn.IFS(D330 &gt;=5000, "A Kunde", D330 &gt;= 10000, "B Kunde", TRUE, "C Kunde")</f>
        <v>C Kunde</v>
      </c>
    </row>
    <row r="331" spans="1:6" x14ac:dyDescent="0.3">
      <c r="A331" t="s">
        <v>129</v>
      </c>
      <c r="B331" t="s">
        <v>120</v>
      </c>
      <c r="C331">
        <v>2025</v>
      </c>
      <c r="D331" s="4">
        <v>5940.66</v>
      </c>
      <c r="E331" s="26">
        <v>45743</v>
      </c>
      <c r="F331" s="5" t="str" cm="1">
        <f t="array" ref="F331">_xlfn.IFS(D331 &gt;=5000, "A Kunde", D331 &gt;= 10000, "B Kunde", TRUE, "C Kunde")</f>
        <v>A Kunde</v>
      </c>
    </row>
    <row r="332" spans="1:6" x14ac:dyDescent="0.3">
      <c r="A332" t="s">
        <v>142</v>
      </c>
      <c r="B332" t="s">
        <v>120</v>
      </c>
      <c r="C332">
        <v>2024</v>
      </c>
      <c r="D332" s="4">
        <v>6089.34</v>
      </c>
      <c r="E332" s="26">
        <v>45567</v>
      </c>
      <c r="F332" s="5" t="str" cm="1">
        <f t="array" ref="F332">_xlfn.IFS(D332 &gt;=5000, "A Kunde", D332 &gt;= 10000, "B Kunde", TRUE, "C Kunde")</f>
        <v>A Kunde</v>
      </c>
    </row>
    <row r="333" spans="1:6" x14ac:dyDescent="0.3">
      <c r="A333" t="s">
        <v>135</v>
      </c>
      <c r="B333" t="s">
        <v>116</v>
      </c>
      <c r="C333">
        <v>2025</v>
      </c>
      <c r="D333" s="4">
        <v>13359.58</v>
      </c>
      <c r="E333" s="26">
        <v>45693</v>
      </c>
      <c r="F333" s="5" t="str" cm="1">
        <f t="array" ref="F333">_xlfn.IFS(D333 &gt;=5000, "A Kunde", D333 &gt;= 10000, "B Kunde", TRUE, "C Kunde")</f>
        <v>A Kunde</v>
      </c>
    </row>
    <row r="334" spans="1:6" x14ac:dyDescent="0.3">
      <c r="A334" t="s">
        <v>126</v>
      </c>
      <c r="B334" t="s">
        <v>116</v>
      </c>
      <c r="C334">
        <v>2023</v>
      </c>
      <c r="D334" s="4">
        <v>1458.9</v>
      </c>
      <c r="E334" s="26">
        <v>45064</v>
      </c>
      <c r="F334" s="5" t="str" cm="1">
        <f t="array" ref="F334">_xlfn.IFS(D334 &gt;=5000, "A Kunde", D334 &gt;= 10000, "B Kunde", TRUE, "C Kunde")</f>
        <v>C Kunde</v>
      </c>
    </row>
    <row r="335" spans="1:6" x14ac:dyDescent="0.3">
      <c r="A335" t="s">
        <v>158</v>
      </c>
      <c r="B335" t="s">
        <v>120</v>
      </c>
      <c r="C335">
        <v>2023</v>
      </c>
      <c r="D335" s="4">
        <v>6159.9</v>
      </c>
      <c r="E335" s="26">
        <v>45117</v>
      </c>
      <c r="F335" s="5" t="str" cm="1">
        <f t="array" ref="F335">_xlfn.IFS(D335 &gt;=5000, "A Kunde", D335 &gt;= 10000, "B Kunde", TRUE, "C Kunde")</f>
        <v>A Kunde</v>
      </c>
    </row>
    <row r="336" spans="1:6" x14ac:dyDescent="0.3">
      <c r="A336" t="s">
        <v>140</v>
      </c>
      <c r="B336" t="s">
        <v>128</v>
      </c>
      <c r="C336">
        <v>2023</v>
      </c>
      <c r="D336" s="4">
        <v>7877.92</v>
      </c>
      <c r="E336" s="26">
        <v>45193</v>
      </c>
      <c r="F336" s="5" t="str" cm="1">
        <f t="array" ref="F336">_xlfn.IFS(D336 &gt;=5000, "A Kunde", D336 &gt;= 10000, "B Kunde", TRUE, "C Kunde")</f>
        <v>A Kunde</v>
      </c>
    </row>
    <row r="337" spans="1:6" x14ac:dyDescent="0.3">
      <c r="A337" t="s">
        <v>131</v>
      </c>
      <c r="B337" t="s">
        <v>122</v>
      </c>
      <c r="C337">
        <v>2024</v>
      </c>
      <c r="D337" s="4">
        <v>9446.18</v>
      </c>
      <c r="E337" s="26">
        <v>45602</v>
      </c>
      <c r="F337" s="5" t="str" cm="1">
        <f t="array" ref="F337">_xlfn.IFS(D337 &gt;=5000, "A Kunde", D337 &gt;= 10000, "B Kunde", TRUE, "C Kunde")</f>
        <v>A Kunde</v>
      </c>
    </row>
    <row r="338" spans="1:6" x14ac:dyDescent="0.3">
      <c r="A338" t="s">
        <v>148</v>
      </c>
      <c r="B338" t="s">
        <v>120</v>
      </c>
      <c r="C338">
        <v>2024</v>
      </c>
      <c r="D338" s="4">
        <v>12255.78</v>
      </c>
      <c r="E338" s="26">
        <v>45651</v>
      </c>
      <c r="F338" s="5" t="str" cm="1">
        <f t="array" ref="F338">_xlfn.IFS(D338 &gt;=5000, "A Kunde", D338 &gt;= 10000, "B Kunde", TRUE, "C Kunde")</f>
        <v>A Kunde</v>
      </c>
    </row>
    <row r="339" spans="1:6" x14ac:dyDescent="0.3">
      <c r="A339" t="s">
        <v>144</v>
      </c>
      <c r="B339" t="s">
        <v>116</v>
      </c>
      <c r="C339">
        <v>2023</v>
      </c>
      <c r="D339" s="4">
        <v>13563.9</v>
      </c>
      <c r="E339" s="26">
        <v>45032</v>
      </c>
      <c r="F339" s="5" t="str" cm="1">
        <f t="array" ref="F339">_xlfn.IFS(D339 &gt;=5000, "A Kunde", D339 &gt;= 10000, "B Kunde", TRUE, "C Kunde")</f>
        <v>A Kunde</v>
      </c>
    </row>
    <row r="340" spans="1:6" x14ac:dyDescent="0.3">
      <c r="A340" t="s">
        <v>143</v>
      </c>
      <c r="B340" t="s">
        <v>122</v>
      </c>
      <c r="C340">
        <v>2024</v>
      </c>
      <c r="D340" s="4">
        <v>5052.72</v>
      </c>
      <c r="E340" s="26">
        <v>45566</v>
      </c>
      <c r="F340" s="5" t="str" cm="1">
        <f t="array" ref="F340">_xlfn.IFS(D340 &gt;=5000, "A Kunde", D340 &gt;= 10000, "B Kunde", TRUE, "C Kunde")</f>
        <v>A Kunde</v>
      </c>
    </row>
    <row r="341" spans="1:6" x14ac:dyDescent="0.3">
      <c r="A341" t="s">
        <v>133</v>
      </c>
      <c r="B341" t="s">
        <v>128</v>
      </c>
      <c r="C341">
        <v>2025</v>
      </c>
      <c r="D341" s="4">
        <v>3135.8</v>
      </c>
      <c r="E341" s="26">
        <v>45966</v>
      </c>
      <c r="F341" s="5" t="str" cm="1">
        <f t="array" ref="F341">_xlfn.IFS(D341 &gt;=5000, "A Kunde", D341 &gt;= 10000, "B Kunde", TRUE, "C Kunde")</f>
        <v>C Kunde</v>
      </c>
    </row>
    <row r="342" spans="1:6" x14ac:dyDescent="0.3">
      <c r="A342" t="s">
        <v>126</v>
      </c>
      <c r="B342" t="s">
        <v>116</v>
      </c>
      <c r="C342">
        <v>2024</v>
      </c>
      <c r="D342" s="4">
        <v>11892.39</v>
      </c>
      <c r="E342" s="26">
        <v>45386</v>
      </c>
      <c r="F342" s="5" t="str" cm="1">
        <f t="array" ref="F342">_xlfn.IFS(D342 &gt;=5000, "A Kunde", D342 &gt;= 10000, "B Kunde", TRUE, "C Kunde")</f>
        <v>A Kunde</v>
      </c>
    </row>
    <row r="343" spans="1:6" x14ac:dyDescent="0.3">
      <c r="A343" t="s">
        <v>139</v>
      </c>
      <c r="B343" t="s">
        <v>120</v>
      </c>
      <c r="C343">
        <v>2025</v>
      </c>
      <c r="D343" s="4">
        <v>1785.42</v>
      </c>
      <c r="E343" s="26">
        <v>45679</v>
      </c>
      <c r="F343" s="5" t="str" cm="1">
        <f t="array" ref="F343">_xlfn.IFS(D343 &gt;=5000, "A Kunde", D343 &gt;= 10000, "B Kunde", TRUE, "C Kunde")</f>
        <v>C Kunde</v>
      </c>
    </row>
    <row r="344" spans="1:6" x14ac:dyDescent="0.3">
      <c r="A344" t="s">
        <v>154</v>
      </c>
      <c r="B344" t="s">
        <v>128</v>
      </c>
      <c r="C344">
        <v>2024</v>
      </c>
      <c r="D344" s="4">
        <v>11339.65</v>
      </c>
      <c r="E344" s="26">
        <v>45390</v>
      </c>
      <c r="F344" s="5" t="str" cm="1">
        <f t="array" ref="F344">_xlfn.IFS(D344 &gt;=5000, "A Kunde", D344 &gt;= 10000, "B Kunde", TRUE, "C Kunde")</f>
        <v>A Kunde</v>
      </c>
    </row>
    <row r="345" spans="1:6" x14ac:dyDescent="0.3">
      <c r="A345" t="s">
        <v>123</v>
      </c>
      <c r="B345" t="s">
        <v>120</v>
      </c>
      <c r="C345">
        <v>2023</v>
      </c>
      <c r="D345" s="4">
        <v>8604.1299999999992</v>
      </c>
      <c r="E345" s="26">
        <v>44980</v>
      </c>
      <c r="F345" s="5" t="str" cm="1">
        <f t="array" ref="F345">_xlfn.IFS(D345 &gt;=5000, "A Kunde", D345 &gt;= 10000, "B Kunde", TRUE, "C Kunde")</f>
        <v>A Kunde</v>
      </c>
    </row>
    <row r="346" spans="1:6" x14ac:dyDescent="0.3">
      <c r="A346" t="s">
        <v>154</v>
      </c>
      <c r="B346" t="s">
        <v>128</v>
      </c>
      <c r="C346">
        <v>2023</v>
      </c>
      <c r="D346" s="4">
        <v>2689.74</v>
      </c>
      <c r="E346" s="26">
        <v>44986</v>
      </c>
      <c r="F346" s="5" t="str" cm="1">
        <f t="array" ref="F346">_xlfn.IFS(D346 &gt;=5000, "A Kunde", D346 &gt;= 10000, "B Kunde", TRUE, "C Kunde")</f>
        <v>C Kunde</v>
      </c>
    </row>
    <row r="347" spans="1:6" x14ac:dyDescent="0.3">
      <c r="A347" t="s">
        <v>149</v>
      </c>
      <c r="B347" t="s">
        <v>122</v>
      </c>
      <c r="C347">
        <v>2024</v>
      </c>
      <c r="D347" s="4">
        <v>5044.12</v>
      </c>
      <c r="E347" s="26">
        <v>45622</v>
      </c>
      <c r="F347" s="5" t="str" cm="1">
        <f t="array" ref="F347">_xlfn.IFS(D347 &gt;=5000, "A Kunde", D347 &gt;= 10000, "B Kunde", TRUE, "C Kunde")</f>
        <v>A Kunde</v>
      </c>
    </row>
    <row r="348" spans="1:6" x14ac:dyDescent="0.3">
      <c r="A348" t="s">
        <v>119</v>
      </c>
      <c r="B348" t="s">
        <v>120</v>
      </c>
      <c r="C348">
        <v>2023</v>
      </c>
      <c r="D348" s="4">
        <v>8015.23</v>
      </c>
      <c r="E348" s="26">
        <v>45220</v>
      </c>
      <c r="F348" s="5" t="str" cm="1">
        <f t="array" ref="F348">_xlfn.IFS(D348 &gt;=5000, "A Kunde", D348 &gt;= 10000, "B Kunde", TRUE, "C Kunde")</f>
        <v>A Kunde</v>
      </c>
    </row>
    <row r="349" spans="1:6" x14ac:dyDescent="0.3">
      <c r="A349" t="s">
        <v>155</v>
      </c>
      <c r="B349" t="s">
        <v>128</v>
      </c>
      <c r="C349">
        <v>2023</v>
      </c>
      <c r="D349" s="4">
        <v>2157.87</v>
      </c>
      <c r="E349" s="26">
        <v>45069</v>
      </c>
      <c r="F349" s="5" t="str" cm="1">
        <f t="array" ref="F349">_xlfn.IFS(D349 &gt;=5000, "A Kunde", D349 &gt;= 10000, "B Kunde", TRUE, "C Kunde")</f>
        <v>C Kunde</v>
      </c>
    </row>
    <row r="350" spans="1:6" x14ac:dyDescent="0.3">
      <c r="A350" t="s">
        <v>159</v>
      </c>
      <c r="B350" t="s">
        <v>116</v>
      </c>
      <c r="C350">
        <v>2023</v>
      </c>
      <c r="D350" s="4">
        <v>10496.34</v>
      </c>
      <c r="E350" s="26">
        <v>45114</v>
      </c>
      <c r="F350" s="5" t="str" cm="1">
        <f t="array" ref="F350">_xlfn.IFS(D350 &gt;=5000, "A Kunde", D350 &gt;= 10000, "B Kunde", TRUE, "C Kunde")</f>
        <v>A Kunde</v>
      </c>
    </row>
    <row r="351" spans="1:6" x14ac:dyDescent="0.3">
      <c r="A351" t="s">
        <v>138</v>
      </c>
      <c r="B351" t="s">
        <v>122</v>
      </c>
      <c r="C351">
        <v>2025</v>
      </c>
      <c r="D351" s="4">
        <v>5993.69</v>
      </c>
      <c r="E351" s="26">
        <v>45697</v>
      </c>
      <c r="F351" s="5" t="str" cm="1">
        <f t="array" ref="F351">_xlfn.IFS(D351 &gt;=5000, "A Kunde", D351 &gt;= 10000, "B Kunde", TRUE, "C Kunde")</f>
        <v>A Kunde</v>
      </c>
    </row>
    <row r="352" spans="1:6" x14ac:dyDescent="0.3">
      <c r="A352" t="s">
        <v>117</v>
      </c>
      <c r="B352" t="s">
        <v>116</v>
      </c>
      <c r="C352">
        <v>2023</v>
      </c>
      <c r="D352" s="4">
        <v>5306.73</v>
      </c>
      <c r="E352" s="26">
        <v>45249</v>
      </c>
      <c r="F352" s="5" t="str" cm="1">
        <f t="array" ref="F352">_xlfn.IFS(D352 &gt;=5000, "A Kunde", D352 &gt;= 10000, "B Kunde", TRUE, "C Kunde")</f>
        <v>A Kunde</v>
      </c>
    </row>
    <row r="353" spans="1:6" x14ac:dyDescent="0.3">
      <c r="A353" t="s">
        <v>136</v>
      </c>
      <c r="B353" t="s">
        <v>120</v>
      </c>
      <c r="C353">
        <v>2023</v>
      </c>
      <c r="D353" s="4">
        <v>12390.12</v>
      </c>
      <c r="E353" s="26">
        <v>45100</v>
      </c>
      <c r="F353" s="5" t="str" cm="1">
        <f t="array" ref="F353">_xlfn.IFS(D353 &gt;=5000, "A Kunde", D353 &gt;= 10000, "B Kunde", TRUE, "C Kunde")</f>
        <v>A Kunde</v>
      </c>
    </row>
    <row r="354" spans="1:6" x14ac:dyDescent="0.3">
      <c r="A354" t="s">
        <v>146</v>
      </c>
      <c r="B354" t="s">
        <v>128</v>
      </c>
      <c r="C354">
        <v>2023</v>
      </c>
      <c r="D354" s="4">
        <v>10611.22</v>
      </c>
      <c r="E354" s="26">
        <v>45249</v>
      </c>
      <c r="F354" s="5" t="str" cm="1">
        <f t="array" ref="F354">_xlfn.IFS(D354 &gt;=5000, "A Kunde", D354 &gt;= 10000, "B Kunde", TRUE, "C Kunde")</f>
        <v>A Kunde</v>
      </c>
    </row>
    <row r="355" spans="1:6" x14ac:dyDescent="0.3">
      <c r="A355" t="s">
        <v>115</v>
      </c>
      <c r="B355" t="s">
        <v>116</v>
      </c>
      <c r="C355">
        <v>2023</v>
      </c>
      <c r="D355" s="4">
        <v>3955.02</v>
      </c>
      <c r="E355" s="26">
        <v>45094</v>
      </c>
      <c r="F355" s="5" t="str" cm="1">
        <f t="array" ref="F355">_xlfn.IFS(D355 &gt;=5000, "A Kunde", D355 &gt;= 10000, "B Kunde", TRUE, "C Kunde")</f>
        <v>C Kunde</v>
      </c>
    </row>
    <row r="356" spans="1:6" x14ac:dyDescent="0.3">
      <c r="A356" t="s">
        <v>144</v>
      </c>
      <c r="B356" t="s">
        <v>116</v>
      </c>
      <c r="C356">
        <v>2025</v>
      </c>
      <c r="D356" s="4">
        <v>8577.65</v>
      </c>
      <c r="E356" s="26">
        <v>45921</v>
      </c>
      <c r="F356" s="5" t="str" cm="1">
        <f t="array" ref="F356">_xlfn.IFS(D356 &gt;=5000, "A Kunde", D356 &gt;= 10000, "B Kunde", TRUE, "C Kunde")</f>
        <v>A Kunde</v>
      </c>
    </row>
    <row r="357" spans="1:6" x14ac:dyDescent="0.3">
      <c r="A357" t="s">
        <v>148</v>
      </c>
      <c r="B357" t="s">
        <v>120</v>
      </c>
      <c r="C357">
        <v>2024</v>
      </c>
      <c r="D357" s="4">
        <v>3174.85</v>
      </c>
      <c r="E357" s="26">
        <v>45486</v>
      </c>
      <c r="F357" s="5" t="str" cm="1">
        <f t="array" ref="F357">_xlfn.IFS(D357 &gt;=5000, "A Kunde", D357 &gt;= 10000, "B Kunde", TRUE, "C Kunde")</f>
        <v>C Kunde</v>
      </c>
    </row>
    <row r="358" spans="1:6" x14ac:dyDescent="0.3">
      <c r="A358" t="s">
        <v>132</v>
      </c>
      <c r="B358" t="s">
        <v>128</v>
      </c>
      <c r="C358">
        <v>2023</v>
      </c>
      <c r="D358" s="4">
        <v>4963.3900000000003</v>
      </c>
      <c r="E358" s="26">
        <v>45160</v>
      </c>
      <c r="F358" s="5" t="str" cm="1">
        <f t="array" ref="F358">_xlfn.IFS(D358 &gt;=5000, "A Kunde", D358 &gt;= 10000, "B Kunde", TRUE, "C Kunde")</f>
        <v>C Kunde</v>
      </c>
    </row>
    <row r="359" spans="1:6" x14ac:dyDescent="0.3">
      <c r="A359" t="s">
        <v>145</v>
      </c>
      <c r="B359" t="s">
        <v>120</v>
      </c>
      <c r="C359">
        <v>2024</v>
      </c>
      <c r="D359" s="4">
        <v>9559.41</v>
      </c>
      <c r="E359" s="26">
        <v>45507</v>
      </c>
      <c r="F359" s="5" t="str" cm="1">
        <f t="array" ref="F359">_xlfn.IFS(D359 &gt;=5000, "A Kunde", D359 &gt;= 10000, "B Kunde", TRUE, "C Kunde")</f>
        <v>A Kunde</v>
      </c>
    </row>
    <row r="360" spans="1:6" x14ac:dyDescent="0.3">
      <c r="A360" t="s">
        <v>131</v>
      </c>
      <c r="B360" t="s">
        <v>122</v>
      </c>
      <c r="C360">
        <v>2025</v>
      </c>
      <c r="D360" s="4">
        <v>7471.69</v>
      </c>
      <c r="E360" s="26">
        <v>45923</v>
      </c>
      <c r="F360" s="5" t="str" cm="1">
        <f t="array" ref="F360">_xlfn.IFS(D360 &gt;=5000, "A Kunde", D360 &gt;= 10000, "B Kunde", TRUE, "C Kunde")</f>
        <v>A Kunde</v>
      </c>
    </row>
    <row r="361" spans="1:6" x14ac:dyDescent="0.3">
      <c r="A361" t="s">
        <v>149</v>
      </c>
      <c r="B361" t="s">
        <v>122</v>
      </c>
      <c r="C361">
        <v>2023</v>
      </c>
      <c r="D361" s="4">
        <v>3243.15</v>
      </c>
      <c r="E361" s="26">
        <v>45020</v>
      </c>
      <c r="F361" s="5" t="str" cm="1">
        <f t="array" ref="F361">_xlfn.IFS(D361 &gt;=5000, "A Kunde", D361 &gt;= 10000, "B Kunde", TRUE, "C Kunde")</f>
        <v>C Kunde</v>
      </c>
    </row>
    <row r="362" spans="1:6" x14ac:dyDescent="0.3">
      <c r="A362" t="s">
        <v>143</v>
      </c>
      <c r="B362" t="s">
        <v>122</v>
      </c>
      <c r="C362">
        <v>2023</v>
      </c>
      <c r="D362" s="4">
        <v>306.08</v>
      </c>
      <c r="E362" s="26">
        <v>45039</v>
      </c>
      <c r="F362" s="5" t="str" cm="1">
        <f t="array" ref="F362">_xlfn.IFS(D362 &gt;=5000, "A Kunde", D362 &gt;= 10000, "B Kunde", TRUE, "C Kunde")</f>
        <v>C Kunde</v>
      </c>
    </row>
    <row r="363" spans="1:6" x14ac:dyDescent="0.3">
      <c r="A363" t="s">
        <v>149</v>
      </c>
      <c r="B363" t="s">
        <v>122</v>
      </c>
      <c r="C363">
        <v>2024</v>
      </c>
      <c r="D363" s="4">
        <v>10789.42</v>
      </c>
      <c r="E363" s="26">
        <v>45359</v>
      </c>
      <c r="F363" s="5" t="str" cm="1">
        <f t="array" ref="F363">_xlfn.IFS(D363 &gt;=5000, "A Kunde", D363 &gt;= 10000, "B Kunde", TRUE, "C Kunde")</f>
        <v>A Kunde</v>
      </c>
    </row>
    <row r="364" spans="1:6" x14ac:dyDescent="0.3">
      <c r="A364" t="s">
        <v>135</v>
      </c>
      <c r="B364" t="s">
        <v>116</v>
      </c>
      <c r="C364">
        <v>2024</v>
      </c>
      <c r="D364" s="4">
        <v>4728.09</v>
      </c>
      <c r="E364" s="26">
        <v>45519</v>
      </c>
      <c r="F364" s="5" t="str" cm="1">
        <f t="array" ref="F364">_xlfn.IFS(D364 &gt;=5000, "A Kunde", D364 &gt;= 10000, "B Kunde", TRUE, "C Kunde")</f>
        <v>C Kunde</v>
      </c>
    </row>
    <row r="365" spans="1:6" x14ac:dyDescent="0.3">
      <c r="A365" t="s">
        <v>150</v>
      </c>
      <c r="B365" t="s">
        <v>116</v>
      </c>
      <c r="C365">
        <v>2025</v>
      </c>
      <c r="D365" s="4">
        <v>10508.79</v>
      </c>
      <c r="E365" s="26">
        <v>45945</v>
      </c>
      <c r="F365" s="5" t="str" cm="1">
        <f t="array" ref="F365">_xlfn.IFS(D365 &gt;=5000, "A Kunde", D365 &gt;= 10000, "B Kunde", TRUE, "C Kunde")</f>
        <v>A Kunde</v>
      </c>
    </row>
    <row r="366" spans="1:6" x14ac:dyDescent="0.3">
      <c r="A366" t="s">
        <v>119</v>
      </c>
      <c r="B366" t="s">
        <v>120</v>
      </c>
      <c r="C366">
        <v>2023</v>
      </c>
      <c r="D366" s="4">
        <v>5446.86</v>
      </c>
      <c r="E366" s="26">
        <v>45191</v>
      </c>
      <c r="F366" s="5" t="str" cm="1">
        <f t="array" ref="F366">_xlfn.IFS(D366 &gt;=5000, "A Kunde", D366 &gt;= 10000, "B Kunde", TRUE, "C Kunde")</f>
        <v>A Kunde</v>
      </c>
    </row>
    <row r="367" spans="1:6" x14ac:dyDescent="0.3">
      <c r="A367" t="s">
        <v>147</v>
      </c>
      <c r="B367" t="s">
        <v>120</v>
      </c>
      <c r="C367">
        <v>2025</v>
      </c>
      <c r="D367" s="4">
        <v>7910.39</v>
      </c>
      <c r="E367" s="26">
        <v>45951</v>
      </c>
      <c r="F367" s="5" t="str" cm="1">
        <f t="array" ref="F367">_xlfn.IFS(D367 &gt;=5000, "A Kunde", D367 &gt;= 10000, "B Kunde", TRUE, "C Kunde")</f>
        <v>A Kunde</v>
      </c>
    </row>
    <row r="368" spans="1:6" x14ac:dyDescent="0.3">
      <c r="A368" t="s">
        <v>139</v>
      </c>
      <c r="B368" t="s">
        <v>120</v>
      </c>
      <c r="C368">
        <v>2023</v>
      </c>
      <c r="D368" s="4">
        <v>5679.58</v>
      </c>
      <c r="E368" s="26">
        <v>45074</v>
      </c>
      <c r="F368" s="5" t="str" cm="1">
        <f t="array" ref="F368">_xlfn.IFS(D368 &gt;=5000, "A Kunde", D368 &gt;= 10000, "B Kunde", TRUE, "C Kunde")</f>
        <v>A Kunde</v>
      </c>
    </row>
    <row r="369" spans="1:6" x14ac:dyDescent="0.3">
      <c r="A369" t="s">
        <v>134</v>
      </c>
      <c r="B369" t="s">
        <v>120</v>
      </c>
      <c r="C369">
        <v>2025</v>
      </c>
      <c r="D369" s="4">
        <v>458.63</v>
      </c>
      <c r="E369" s="26">
        <v>45820</v>
      </c>
      <c r="F369" s="5" t="str" cm="1">
        <f t="array" ref="F369">_xlfn.IFS(D369 &gt;=5000, "A Kunde", D369 &gt;= 10000, "B Kunde", TRUE, "C Kunde")</f>
        <v>C Kunde</v>
      </c>
    </row>
    <row r="370" spans="1:6" x14ac:dyDescent="0.3">
      <c r="A370" t="s">
        <v>121</v>
      </c>
      <c r="B370" t="s">
        <v>122</v>
      </c>
      <c r="C370">
        <v>2024</v>
      </c>
      <c r="D370" s="4">
        <v>8145.48</v>
      </c>
      <c r="E370" s="26">
        <v>45568</v>
      </c>
      <c r="F370" s="5" t="str" cm="1">
        <f t="array" ref="F370">_xlfn.IFS(D370 &gt;=5000, "A Kunde", D370 &gt;= 10000, "B Kunde", TRUE, "C Kunde")</f>
        <v>A Kunde</v>
      </c>
    </row>
    <row r="371" spans="1:6" x14ac:dyDescent="0.3">
      <c r="A371" t="s">
        <v>133</v>
      </c>
      <c r="B371" t="s">
        <v>128</v>
      </c>
      <c r="C371">
        <v>2025</v>
      </c>
      <c r="D371" s="4">
        <v>9991.09</v>
      </c>
      <c r="E371" s="26">
        <v>45755</v>
      </c>
      <c r="F371" s="5" t="str" cm="1">
        <f t="array" ref="F371">_xlfn.IFS(D371 &gt;=5000, "A Kunde", D371 &gt;= 10000, "B Kunde", TRUE, "C Kunde")</f>
        <v>A Kunde</v>
      </c>
    </row>
    <row r="372" spans="1:6" x14ac:dyDescent="0.3">
      <c r="A372" t="s">
        <v>148</v>
      </c>
      <c r="B372" t="s">
        <v>120</v>
      </c>
      <c r="C372">
        <v>2024</v>
      </c>
      <c r="D372" s="4">
        <v>1789.39</v>
      </c>
      <c r="E372" s="26">
        <v>45519</v>
      </c>
      <c r="F372" s="5" t="str" cm="1">
        <f t="array" ref="F372">_xlfn.IFS(D372 &gt;=5000, "A Kunde", D372 &gt;= 10000, "B Kunde", TRUE, "C Kunde")</f>
        <v>C Kunde</v>
      </c>
    </row>
    <row r="373" spans="1:6" x14ac:dyDescent="0.3">
      <c r="A373" t="s">
        <v>159</v>
      </c>
      <c r="B373" t="s">
        <v>116</v>
      </c>
      <c r="C373">
        <v>2024</v>
      </c>
      <c r="D373" s="4">
        <v>2571.85</v>
      </c>
      <c r="E373" s="26">
        <v>45592</v>
      </c>
      <c r="F373" s="5" t="str" cm="1">
        <f t="array" ref="F373">_xlfn.IFS(D373 &gt;=5000, "A Kunde", D373 &gt;= 10000, "B Kunde", TRUE, "C Kunde")</f>
        <v>C Kunde</v>
      </c>
    </row>
    <row r="374" spans="1:6" x14ac:dyDescent="0.3">
      <c r="A374" t="s">
        <v>153</v>
      </c>
      <c r="B374" t="s">
        <v>122</v>
      </c>
      <c r="C374">
        <v>2025</v>
      </c>
      <c r="D374" s="4">
        <v>11681.96</v>
      </c>
      <c r="E374" s="26">
        <v>45869</v>
      </c>
      <c r="F374" s="5" t="str" cm="1">
        <f t="array" ref="F374">_xlfn.IFS(D374 &gt;=5000, "A Kunde", D374 &gt;= 10000, "B Kunde", TRUE, "C Kunde")</f>
        <v>A Kunde</v>
      </c>
    </row>
    <row r="375" spans="1:6" x14ac:dyDescent="0.3">
      <c r="A375" t="s">
        <v>140</v>
      </c>
      <c r="B375" t="s">
        <v>128</v>
      </c>
      <c r="C375">
        <v>2023</v>
      </c>
      <c r="D375" s="4">
        <v>6226.62</v>
      </c>
      <c r="E375" s="26">
        <v>45107</v>
      </c>
      <c r="F375" s="5" t="str" cm="1">
        <f t="array" ref="F375">_xlfn.IFS(D375 &gt;=5000, "A Kunde", D375 &gt;= 10000, "B Kunde", TRUE, "C Kunde")</f>
        <v>A Kunde</v>
      </c>
    </row>
    <row r="376" spans="1:6" x14ac:dyDescent="0.3">
      <c r="A376" t="s">
        <v>142</v>
      </c>
      <c r="B376" t="s">
        <v>120</v>
      </c>
      <c r="C376">
        <v>2024</v>
      </c>
      <c r="D376" s="4">
        <v>6212.34</v>
      </c>
      <c r="E376" s="26">
        <v>45425</v>
      </c>
      <c r="F376" s="5" t="str" cm="1">
        <f t="array" ref="F376">_xlfn.IFS(D376 &gt;=5000, "A Kunde", D376 &gt;= 10000, "B Kunde", TRUE, "C Kunde")</f>
        <v>A Kunde</v>
      </c>
    </row>
    <row r="377" spans="1:6" x14ac:dyDescent="0.3">
      <c r="A377" t="s">
        <v>155</v>
      </c>
      <c r="B377" t="s">
        <v>128</v>
      </c>
      <c r="C377">
        <v>2025</v>
      </c>
      <c r="D377" s="4">
        <v>1285.33</v>
      </c>
      <c r="E377" s="26">
        <v>46000</v>
      </c>
      <c r="F377" s="5" t="str" cm="1">
        <f t="array" ref="F377">_xlfn.IFS(D377 &gt;=5000, "A Kunde", D377 &gt;= 10000, "B Kunde", TRUE, "C Kunde")</f>
        <v>C Kunde</v>
      </c>
    </row>
    <row r="378" spans="1:6" x14ac:dyDescent="0.3">
      <c r="A378" t="s">
        <v>149</v>
      </c>
      <c r="B378" t="s">
        <v>122</v>
      </c>
      <c r="C378">
        <v>2024</v>
      </c>
      <c r="D378" s="4">
        <v>3257.69</v>
      </c>
      <c r="E378" s="26">
        <v>45622</v>
      </c>
      <c r="F378" s="5" t="str" cm="1">
        <f t="array" ref="F378">_xlfn.IFS(D378 &gt;=5000, "A Kunde", D378 &gt;= 10000, "B Kunde", TRUE, "C Kunde")</f>
        <v>C Kunde</v>
      </c>
    </row>
    <row r="379" spans="1:6" x14ac:dyDescent="0.3">
      <c r="A379" t="s">
        <v>152</v>
      </c>
      <c r="B379" t="s">
        <v>116</v>
      </c>
      <c r="C379">
        <v>2023</v>
      </c>
      <c r="D379" s="4">
        <v>7244.67</v>
      </c>
      <c r="E379" s="26">
        <v>45083</v>
      </c>
      <c r="F379" s="5" t="str" cm="1">
        <f t="array" ref="F379">_xlfn.IFS(D379 &gt;=5000, "A Kunde", D379 &gt;= 10000, "B Kunde", TRUE, "C Kunde")</f>
        <v>A Kunde</v>
      </c>
    </row>
    <row r="380" spans="1:6" x14ac:dyDescent="0.3">
      <c r="A380" t="s">
        <v>145</v>
      </c>
      <c r="B380" t="s">
        <v>120</v>
      </c>
      <c r="C380">
        <v>2025</v>
      </c>
      <c r="D380" s="4">
        <v>7237.34</v>
      </c>
      <c r="E380" s="26">
        <v>46013</v>
      </c>
      <c r="F380" s="5" t="str" cm="1">
        <f t="array" ref="F380">_xlfn.IFS(D380 &gt;=5000, "A Kunde", D380 &gt;= 10000, "B Kunde", TRUE, "C Kunde")</f>
        <v>A Kunde</v>
      </c>
    </row>
    <row r="381" spans="1:6" x14ac:dyDescent="0.3">
      <c r="A381" t="s">
        <v>139</v>
      </c>
      <c r="B381" t="s">
        <v>120</v>
      </c>
      <c r="C381">
        <v>2024</v>
      </c>
      <c r="D381" s="4">
        <v>10237.83</v>
      </c>
      <c r="E381" s="26">
        <v>45646</v>
      </c>
      <c r="F381" s="5" t="str" cm="1">
        <f t="array" ref="F381">_xlfn.IFS(D381 &gt;=5000, "A Kunde", D381 &gt;= 10000, "B Kunde", TRUE, "C Kunde")</f>
        <v>A Kunde</v>
      </c>
    </row>
    <row r="382" spans="1:6" x14ac:dyDescent="0.3">
      <c r="A382" t="s">
        <v>146</v>
      </c>
      <c r="B382" t="s">
        <v>128</v>
      </c>
      <c r="C382">
        <v>2024</v>
      </c>
      <c r="D382" s="4">
        <v>1618.7</v>
      </c>
      <c r="E382" s="26">
        <v>45410</v>
      </c>
      <c r="F382" s="5" t="str" cm="1">
        <f t="array" ref="F382">_xlfn.IFS(D382 &gt;=5000, "A Kunde", D382 &gt;= 10000, "B Kunde", TRUE, "C Kunde")</f>
        <v>C Kunde</v>
      </c>
    </row>
    <row r="383" spans="1:6" x14ac:dyDescent="0.3">
      <c r="A383" t="s">
        <v>135</v>
      </c>
      <c r="B383" t="s">
        <v>116</v>
      </c>
      <c r="C383">
        <v>2024</v>
      </c>
      <c r="D383" s="4">
        <v>2594.29</v>
      </c>
      <c r="E383" s="26">
        <v>45331</v>
      </c>
      <c r="F383" s="5" t="str" cm="1">
        <f t="array" ref="F383">_xlfn.IFS(D383 &gt;=5000, "A Kunde", D383 &gt;= 10000, "B Kunde", TRUE, "C Kunde")</f>
        <v>C Kunde</v>
      </c>
    </row>
    <row r="384" spans="1:6" x14ac:dyDescent="0.3">
      <c r="A384" t="s">
        <v>146</v>
      </c>
      <c r="B384" t="s">
        <v>128</v>
      </c>
      <c r="C384">
        <v>2023</v>
      </c>
      <c r="D384" s="4">
        <v>2644.62</v>
      </c>
      <c r="E384" s="26">
        <v>45081</v>
      </c>
      <c r="F384" s="5" t="str" cm="1">
        <f t="array" ref="F384">_xlfn.IFS(D384 &gt;=5000, "A Kunde", D384 &gt;= 10000, "B Kunde", TRUE, "C Kunde")</f>
        <v>C Kunde</v>
      </c>
    </row>
    <row r="385" spans="1:6" x14ac:dyDescent="0.3">
      <c r="A385" t="s">
        <v>156</v>
      </c>
      <c r="B385" t="s">
        <v>128</v>
      </c>
      <c r="C385">
        <v>2025</v>
      </c>
      <c r="D385" s="4">
        <v>10611.35</v>
      </c>
      <c r="E385" s="26">
        <v>45877</v>
      </c>
      <c r="F385" s="5" t="str" cm="1">
        <f t="array" ref="F385">_xlfn.IFS(D385 &gt;=5000, "A Kunde", D385 &gt;= 10000, "B Kunde", TRUE, "C Kunde")</f>
        <v>A Kunde</v>
      </c>
    </row>
    <row r="386" spans="1:6" x14ac:dyDescent="0.3">
      <c r="A386" t="s">
        <v>131</v>
      </c>
      <c r="B386" t="s">
        <v>122</v>
      </c>
      <c r="C386">
        <v>2025</v>
      </c>
      <c r="D386" s="4">
        <v>9599.64</v>
      </c>
      <c r="E386" s="26">
        <v>45846</v>
      </c>
      <c r="F386" s="5" t="str" cm="1">
        <f t="array" ref="F386">_xlfn.IFS(D386 &gt;=5000, "A Kunde", D386 &gt;= 10000, "B Kunde", TRUE, "C Kunde")</f>
        <v>A Kunde</v>
      </c>
    </row>
    <row r="387" spans="1:6" x14ac:dyDescent="0.3">
      <c r="A387" t="s">
        <v>133</v>
      </c>
      <c r="B387" t="s">
        <v>128</v>
      </c>
      <c r="C387">
        <v>2024</v>
      </c>
      <c r="D387" s="4">
        <v>12126.61</v>
      </c>
      <c r="E387" s="26">
        <v>45588</v>
      </c>
      <c r="F387" s="5" t="str" cm="1">
        <f t="array" ref="F387">_xlfn.IFS(D387 &gt;=5000, "A Kunde", D387 &gt;= 10000, "B Kunde", TRUE, "C Kunde")</f>
        <v>A Kunde</v>
      </c>
    </row>
    <row r="388" spans="1:6" x14ac:dyDescent="0.3">
      <c r="A388" t="s">
        <v>136</v>
      </c>
      <c r="B388" t="s">
        <v>120</v>
      </c>
      <c r="C388">
        <v>2023</v>
      </c>
      <c r="D388" s="4">
        <v>6268.73</v>
      </c>
      <c r="E388" s="26">
        <v>45236</v>
      </c>
      <c r="F388" s="5" t="str" cm="1">
        <f t="array" ref="F388">_xlfn.IFS(D388 &gt;=5000, "A Kunde", D388 &gt;= 10000, "B Kunde", TRUE, "C Kunde")</f>
        <v>A Kunde</v>
      </c>
    </row>
    <row r="389" spans="1:6" x14ac:dyDescent="0.3">
      <c r="A389" t="s">
        <v>126</v>
      </c>
      <c r="B389" t="s">
        <v>116</v>
      </c>
      <c r="C389">
        <v>2025</v>
      </c>
      <c r="D389" s="4">
        <v>8913.11</v>
      </c>
      <c r="E389" s="26">
        <v>45832</v>
      </c>
      <c r="F389" s="5" t="str" cm="1">
        <f t="array" ref="F389">_xlfn.IFS(D389 &gt;=5000, "A Kunde", D389 &gt;= 10000, "B Kunde", TRUE, "C Kunde")</f>
        <v>A Kunde</v>
      </c>
    </row>
    <row r="390" spans="1:6" x14ac:dyDescent="0.3">
      <c r="A390" t="s">
        <v>154</v>
      </c>
      <c r="B390" t="s">
        <v>128</v>
      </c>
      <c r="C390">
        <v>2023</v>
      </c>
      <c r="D390" s="4">
        <v>5056.8</v>
      </c>
      <c r="E390" s="26">
        <v>45042</v>
      </c>
      <c r="F390" s="5" t="str" cm="1">
        <f t="array" ref="F390">_xlfn.IFS(D390 &gt;=5000, "A Kunde", D390 &gt;= 10000, "B Kunde", TRUE, "C Kunde")</f>
        <v>A Kunde</v>
      </c>
    </row>
    <row r="391" spans="1:6" x14ac:dyDescent="0.3">
      <c r="A391" t="s">
        <v>121</v>
      </c>
      <c r="B391" t="s">
        <v>122</v>
      </c>
      <c r="C391">
        <v>2024</v>
      </c>
      <c r="D391" s="4">
        <v>6572.05</v>
      </c>
      <c r="E391" s="26">
        <v>45562</v>
      </c>
      <c r="F391" s="5" t="str" cm="1">
        <f t="array" ref="F391">_xlfn.IFS(D391 &gt;=5000, "A Kunde", D391 &gt;= 10000, "B Kunde", TRUE, "C Kunde")</f>
        <v>A Kunde</v>
      </c>
    </row>
    <row r="392" spans="1:6" x14ac:dyDescent="0.3">
      <c r="A392" t="s">
        <v>134</v>
      </c>
      <c r="B392" t="s">
        <v>120</v>
      </c>
      <c r="C392">
        <v>2023</v>
      </c>
      <c r="D392" s="4">
        <v>5288.58</v>
      </c>
      <c r="E392" s="26">
        <v>45043</v>
      </c>
      <c r="F392" s="5" t="str" cm="1">
        <f t="array" ref="F392">_xlfn.IFS(D392 &gt;=5000, "A Kunde", D392 &gt;= 10000, "B Kunde", TRUE, "C Kunde")</f>
        <v>A Kunde</v>
      </c>
    </row>
    <row r="393" spans="1:6" x14ac:dyDescent="0.3">
      <c r="A393" t="s">
        <v>130</v>
      </c>
      <c r="B393" t="s">
        <v>116</v>
      </c>
      <c r="C393">
        <v>2023</v>
      </c>
      <c r="D393" s="4">
        <v>9096.4</v>
      </c>
      <c r="E393" s="26">
        <v>45084</v>
      </c>
      <c r="F393" s="5" t="str" cm="1">
        <f t="array" ref="F393">_xlfn.IFS(D393 &gt;=5000, "A Kunde", D393 &gt;= 10000, "B Kunde", TRUE, "C Kunde")</f>
        <v>A Kunde</v>
      </c>
    </row>
    <row r="394" spans="1:6" x14ac:dyDescent="0.3">
      <c r="A394" t="s">
        <v>158</v>
      </c>
      <c r="B394" t="s">
        <v>120</v>
      </c>
      <c r="C394">
        <v>2025</v>
      </c>
      <c r="D394" s="4">
        <v>5505.86</v>
      </c>
      <c r="E394" s="26">
        <v>45965</v>
      </c>
      <c r="F394" s="5" t="str" cm="1">
        <f t="array" ref="F394">_xlfn.IFS(D394 &gt;=5000, "A Kunde", D394 &gt;= 10000, "B Kunde", TRUE, "C Kunde")</f>
        <v>A Kunde</v>
      </c>
    </row>
    <row r="395" spans="1:6" x14ac:dyDescent="0.3">
      <c r="A395" t="s">
        <v>131</v>
      </c>
      <c r="B395" t="s">
        <v>122</v>
      </c>
      <c r="C395">
        <v>2023</v>
      </c>
      <c r="D395" s="4">
        <v>6406.33</v>
      </c>
      <c r="E395" s="26">
        <v>45011</v>
      </c>
      <c r="F395" s="5" t="str" cm="1">
        <f t="array" ref="F395">_xlfn.IFS(D395 &gt;=5000, "A Kunde", D395 &gt;= 10000, "B Kunde", TRUE, "C Kunde")</f>
        <v>A Kunde</v>
      </c>
    </row>
    <row r="396" spans="1:6" x14ac:dyDescent="0.3">
      <c r="A396" t="s">
        <v>133</v>
      </c>
      <c r="B396" t="s">
        <v>128</v>
      </c>
      <c r="C396">
        <v>2024</v>
      </c>
      <c r="D396" s="4">
        <v>4637.07</v>
      </c>
      <c r="E396" s="26">
        <v>45312</v>
      </c>
      <c r="F396" s="5" t="str" cm="1">
        <f t="array" ref="F396">_xlfn.IFS(D396 &gt;=5000, "A Kunde", D396 &gt;= 10000, "B Kunde", TRUE, "C Kunde")</f>
        <v>C Kunde</v>
      </c>
    </row>
    <row r="397" spans="1:6" x14ac:dyDescent="0.3">
      <c r="A397" t="s">
        <v>126</v>
      </c>
      <c r="B397" t="s">
        <v>116</v>
      </c>
      <c r="C397">
        <v>2025</v>
      </c>
      <c r="D397" s="4">
        <v>2281.88</v>
      </c>
      <c r="E397" s="26">
        <v>45953</v>
      </c>
      <c r="F397" s="5" t="str" cm="1">
        <f t="array" ref="F397">_xlfn.IFS(D397 &gt;=5000, "A Kunde", D397 &gt;= 10000, "B Kunde", TRUE, "C Kunde")</f>
        <v>C Kunde</v>
      </c>
    </row>
    <row r="398" spans="1:6" x14ac:dyDescent="0.3">
      <c r="A398" t="s">
        <v>115</v>
      </c>
      <c r="B398" t="s">
        <v>116</v>
      </c>
      <c r="C398">
        <v>2025</v>
      </c>
      <c r="D398" s="4">
        <v>1628.33</v>
      </c>
      <c r="E398" s="26">
        <v>45849</v>
      </c>
      <c r="F398" s="5" t="str" cm="1">
        <f t="array" ref="F398">_xlfn.IFS(D398 &gt;=5000, "A Kunde", D398 &gt;= 10000, "B Kunde", TRUE, "C Kunde")</f>
        <v>C Kunde</v>
      </c>
    </row>
    <row r="399" spans="1:6" x14ac:dyDescent="0.3">
      <c r="A399" t="s">
        <v>117</v>
      </c>
      <c r="B399" t="s">
        <v>116</v>
      </c>
      <c r="C399">
        <v>2023</v>
      </c>
      <c r="D399" s="4">
        <v>7162.78</v>
      </c>
      <c r="E399" s="26">
        <v>45099</v>
      </c>
      <c r="F399" s="5" t="str" cm="1">
        <f t="array" ref="F399">_xlfn.IFS(D399 &gt;=5000, "A Kunde", D399 &gt;= 10000, "B Kunde", TRUE, "C Kunde")</f>
        <v>A Kunde</v>
      </c>
    </row>
    <row r="400" spans="1:6" x14ac:dyDescent="0.3">
      <c r="A400" t="s">
        <v>119</v>
      </c>
      <c r="B400" t="s">
        <v>120</v>
      </c>
      <c r="C400">
        <v>2023</v>
      </c>
      <c r="D400" s="4">
        <v>3618.86</v>
      </c>
      <c r="E400" s="26">
        <v>45007</v>
      </c>
      <c r="F400" s="5" t="str" cm="1">
        <f t="array" ref="F400">_xlfn.IFS(D400 &gt;=5000, "A Kunde", D400 &gt;= 10000, "B Kunde", TRUE, "C Kunde")</f>
        <v>C Kunde</v>
      </c>
    </row>
    <row r="401" spans="1:6" x14ac:dyDescent="0.3">
      <c r="A401" t="s">
        <v>151</v>
      </c>
      <c r="B401" t="s">
        <v>120</v>
      </c>
      <c r="C401">
        <v>2025</v>
      </c>
      <c r="D401" s="4">
        <v>7432.15</v>
      </c>
      <c r="E401" s="26">
        <v>45826</v>
      </c>
      <c r="F401" s="5" t="str" cm="1">
        <f t="array" ref="F401">_xlfn.IFS(D401 &gt;=5000, "A Kunde", D401 &gt;= 10000, "B Kunde", TRUE, "C Kunde")</f>
        <v>A Kunde</v>
      </c>
    </row>
    <row r="402" spans="1:6" x14ac:dyDescent="0.3">
      <c r="A402" t="s">
        <v>153</v>
      </c>
      <c r="B402" t="s">
        <v>122</v>
      </c>
      <c r="C402">
        <v>2023</v>
      </c>
      <c r="D402" s="4">
        <v>5221.79</v>
      </c>
      <c r="E402" s="26">
        <v>45252</v>
      </c>
      <c r="F402" s="5" t="str" cm="1">
        <f t="array" ref="F402">_xlfn.IFS(D402 &gt;=5000, "A Kunde", D402 &gt;= 10000, "B Kunde", TRUE, "C Kunde")</f>
        <v>A Kunde</v>
      </c>
    </row>
    <row r="403" spans="1:6" x14ac:dyDescent="0.3">
      <c r="A403" t="s">
        <v>130</v>
      </c>
      <c r="B403" t="s">
        <v>116</v>
      </c>
      <c r="C403">
        <v>2025</v>
      </c>
      <c r="D403" s="4">
        <v>5841.02</v>
      </c>
      <c r="E403" s="26">
        <v>45720</v>
      </c>
      <c r="F403" s="5" t="str" cm="1">
        <f t="array" ref="F403">_xlfn.IFS(D403 &gt;=5000, "A Kunde", D403 &gt;= 10000, "B Kunde", TRUE, "C Kunde")</f>
        <v>A Kunde</v>
      </c>
    </row>
    <row r="404" spans="1:6" x14ac:dyDescent="0.3">
      <c r="A404" t="s">
        <v>117</v>
      </c>
      <c r="B404" t="s">
        <v>116</v>
      </c>
      <c r="C404">
        <v>2023</v>
      </c>
      <c r="D404" s="4">
        <v>11091.33</v>
      </c>
      <c r="E404" s="26">
        <v>45034</v>
      </c>
      <c r="F404" s="5" t="str" cm="1">
        <f t="array" ref="F404">_xlfn.IFS(D404 &gt;=5000, "A Kunde", D404 &gt;= 10000, "B Kunde", TRUE, "C Kunde")</f>
        <v>A Kunde</v>
      </c>
    </row>
    <row r="405" spans="1:6" x14ac:dyDescent="0.3">
      <c r="A405" t="s">
        <v>117</v>
      </c>
      <c r="B405" t="s">
        <v>116</v>
      </c>
      <c r="C405">
        <v>2023</v>
      </c>
      <c r="D405" s="4">
        <v>4749.7299999999996</v>
      </c>
      <c r="E405" s="26">
        <v>45061</v>
      </c>
      <c r="F405" s="5" t="str" cm="1">
        <f t="array" ref="F405">_xlfn.IFS(D405 &gt;=5000, "A Kunde", D405 &gt;= 10000, "B Kunde", TRUE, "C Kunde")</f>
        <v>C Kunde</v>
      </c>
    </row>
    <row r="406" spans="1:6" x14ac:dyDescent="0.3">
      <c r="A406" t="s">
        <v>123</v>
      </c>
      <c r="B406" t="s">
        <v>120</v>
      </c>
      <c r="C406">
        <v>2025</v>
      </c>
      <c r="D406" s="4">
        <v>4121.2299999999996</v>
      </c>
      <c r="E406" s="26">
        <v>45718</v>
      </c>
      <c r="F406" s="5" t="str" cm="1">
        <f t="array" ref="F406">_xlfn.IFS(D406 &gt;=5000, "A Kunde", D406 &gt;= 10000, "B Kunde", TRUE, "C Kunde")</f>
        <v>C Kunde</v>
      </c>
    </row>
    <row r="407" spans="1:6" x14ac:dyDescent="0.3">
      <c r="A407" t="s">
        <v>143</v>
      </c>
      <c r="B407" t="s">
        <v>122</v>
      </c>
      <c r="C407">
        <v>2023</v>
      </c>
      <c r="D407" s="4">
        <v>4800.3999999999996</v>
      </c>
      <c r="E407" s="26">
        <v>45234</v>
      </c>
      <c r="F407" s="5" t="str" cm="1">
        <f t="array" ref="F407">_xlfn.IFS(D407 &gt;=5000, "A Kunde", D407 &gt;= 10000, "B Kunde", TRUE, "C Kunde")</f>
        <v>C Kunde</v>
      </c>
    </row>
    <row r="408" spans="1:6" x14ac:dyDescent="0.3">
      <c r="A408" t="s">
        <v>131</v>
      </c>
      <c r="B408" t="s">
        <v>122</v>
      </c>
      <c r="C408">
        <v>2023</v>
      </c>
      <c r="D408" s="4">
        <v>12851.1</v>
      </c>
      <c r="E408" s="26">
        <v>45216</v>
      </c>
      <c r="F408" s="5" t="str" cm="1">
        <f t="array" ref="F408">_xlfn.IFS(D408 &gt;=5000, "A Kunde", D408 &gt;= 10000, "B Kunde", TRUE, "C Kunde")</f>
        <v>A Kunde</v>
      </c>
    </row>
    <row r="409" spans="1:6" x14ac:dyDescent="0.3">
      <c r="A409" t="s">
        <v>149</v>
      </c>
      <c r="B409" t="s">
        <v>122</v>
      </c>
      <c r="C409">
        <v>2025</v>
      </c>
      <c r="D409" s="4">
        <v>1979.53</v>
      </c>
      <c r="E409" s="26">
        <v>45729</v>
      </c>
      <c r="F409" s="5" t="str" cm="1">
        <f t="array" ref="F409">_xlfn.IFS(D409 &gt;=5000, "A Kunde", D409 &gt;= 10000, "B Kunde", TRUE, "C Kunde")</f>
        <v>C Kunde</v>
      </c>
    </row>
    <row r="410" spans="1:6" x14ac:dyDescent="0.3">
      <c r="A410" t="s">
        <v>158</v>
      </c>
      <c r="B410" t="s">
        <v>120</v>
      </c>
      <c r="C410">
        <v>2024</v>
      </c>
      <c r="D410" s="4">
        <v>7913.12</v>
      </c>
      <c r="E410" s="26">
        <v>45561</v>
      </c>
      <c r="F410" s="5" t="str" cm="1">
        <f t="array" ref="F410">_xlfn.IFS(D410 &gt;=5000, "A Kunde", D410 &gt;= 10000, "B Kunde", TRUE, "C Kunde")</f>
        <v>A Kunde</v>
      </c>
    </row>
    <row r="411" spans="1:6" x14ac:dyDescent="0.3">
      <c r="A411" t="s">
        <v>117</v>
      </c>
      <c r="B411" t="s">
        <v>116</v>
      </c>
      <c r="C411">
        <v>2023</v>
      </c>
      <c r="D411" s="4">
        <v>9447.61</v>
      </c>
      <c r="E411" s="26">
        <v>45188</v>
      </c>
      <c r="F411" s="5" t="str" cm="1">
        <f t="array" ref="F411">_xlfn.IFS(D411 &gt;=5000, "A Kunde", D411 &gt;= 10000, "B Kunde", TRUE, "C Kunde")</f>
        <v>A Kunde</v>
      </c>
    </row>
    <row r="412" spans="1:6" x14ac:dyDescent="0.3">
      <c r="A412" t="s">
        <v>141</v>
      </c>
      <c r="B412" t="s">
        <v>116</v>
      </c>
      <c r="C412">
        <v>2023</v>
      </c>
      <c r="D412" s="4">
        <v>9115.14</v>
      </c>
      <c r="E412" s="26">
        <v>45118</v>
      </c>
      <c r="F412" s="5" t="str" cm="1">
        <f t="array" ref="F412">_xlfn.IFS(D412 &gt;=5000, "A Kunde", D412 &gt;= 10000, "B Kunde", TRUE, "C Kunde")</f>
        <v>A Kunde</v>
      </c>
    </row>
    <row r="413" spans="1:6" x14ac:dyDescent="0.3">
      <c r="A413" t="s">
        <v>144</v>
      </c>
      <c r="B413" t="s">
        <v>116</v>
      </c>
      <c r="C413">
        <v>2025</v>
      </c>
      <c r="D413" s="4">
        <v>5193.2299999999996</v>
      </c>
      <c r="E413" s="26">
        <v>45968</v>
      </c>
      <c r="F413" s="5" t="str" cm="1">
        <f t="array" ref="F413">_xlfn.IFS(D413 &gt;=5000, "A Kunde", D413 &gt;= 10000, "B Kunde", TRUE, "C Kunde")</f>
        <v>A Kunde</v>
      </c>
    </row>
    <row r="414" spans="1:6" x14ac:dyDescent="0.3">
      <c r="A414" t="s">
        <v>140</v>
      </c>
      <c r="B414" t="s">
        <v>128</v>
      </c>
      <c r="C414">
        <v>2024</v>
      </c>
      <c r="D414" s="4">
        <v>2687.63</v>
      </c>
      <c r="E414" s="26">
        <v>45559</v>
      </c>
      <c r="F414" s="5" t="str" cm="1">
        <f t="array" ref="F414">_xlfn.IFS(D414 &gt;=5000, "A Kunde", D414 &gt;= 10000, "B Kunde", TRUE, "C Kunde")</f>
        <v>C Kunde</v>
      </c>
    </row>
    <row r="415" spans="1:6" x14ac:dyDescent="0.3">
      <c r="A415" t="s">
        <v>138</v>
      </c>
      <c r="B415" t="s">
        <v>122</v>
      </c>
      <c r="C415">
        <v>2024</v>
      </c>
      <c r="D415" s="4">
        <v>13277.82</v>
      </c>
      <c r="E415" s="26">
        <v>45626</v>
      </c>
      <c r="F415" s="5" t="str" cm="1">
        <f t="array" ref="F415">_xlfn.IFS(D415 &gt;=5000, "A Kunde", D415 &gt;= 10000, "B Kunde", TRUE, "C Kunde")</f>
        <v>A Kunde</v>
      </c>
    </row>
    <row r="416" spans="1:6" x14ac:dyDescent="0.3">
      <c r="A416" t="s">
        <v>156</v>
      </c>
      <c r="B416" t="s">
        <v>128</v>
      </c>
      <c r="C416">
        <v>2024</v>
      </c>
      <c r="D416" s="4">
        <v>3326.29</v>
      </c>
      <c r="E416" s="26">
        <v>45320</v>
      </c>
      <c r="F416" s="5" t="str" cm="1">
        <f t="array" ref="F416">_xlfn.IFS(D416 &gt;=5000, "A Kunde", D416 &gt;= 10000, "B Kunde", TRUE, "C Kunde")</f>
        <v>C Kunde</v>
      </c>
    </row>
    <row r="417" spans="1:6" x14ac:dyDescent="0.3">
      <c r="A417" t="s">
        <v>137</v>
      </c>
      <c r="B417" t="s">
        <v>128</v>
      </c>
      <c r="C417">
        <v>2023</v>
      </c>
      <c r="D417" s="4">
        <v>1264.8800000000001</v>
      </c>
      <c r="E417" s="26">
        <v>45244</v>
      </c>
      <c r="F417" s="5" t="str" cm="1">
        <f t="array" ref="F417">_xlfn.IFS(D417 &gt;=5000, "A Kunde", D417 &gt;= 10000, "B Kunde", TRUE, "C Kunde")</f>
        <v>C Kunde</v>
      </c>
    </row>
    <row r="418" spans="1:6" x14ac:dyDescent="0.3">
      <c r="A418" t="s">
        <v>142</v>
      </c>
      <c r="B418" t="s">
        <v>120</v>
      </c>
      <c r="C418">
        <v>2025</v>
      </c>
      <c r="D418" s="4">
        <v>10838.07</v>
      </c>
      <c r="E418" s="26">
        <v>45966</v>
      </c>
      <c r="F418" s="5" t="str" cm="1">
        <f t="array" ref="F418">_xlfn.IFS(D418 &gt;=5000, "A Kunde", D418 &gt;= 10000, "B Kunde", TRUE, "C Kunde")</f>
        <v>A Kunde</v>
      </c>
    </row>
    <row r="419" spans="1:6" x14ac:dyDescent="0.3">
      <c r="A419" t="s">
        <v>141</v>
      </c>
      <c r="B419" t="s">
        <v>116</v>
      </c>
      <c r="C419">
        <v>2023</v>
      </c>
      <c r="D419" s="4">
        <v>9334.6200000000008</v>
      </c>
      <c r="E419" s="26">
        <v>45004</v>
      </c>
      <c r="F419" s="5" t="str" cm="1">
        <f t="array" ref="F419">_xlfn.IFS(D419 &gt;=5000, "A Kunde", D419 &gt;= 10000, "B Kunde", TRUE, "C Kunde")</f>
        <v>A Kunde</v>
      </c>
    </row>
    <row r="420" spans="1:6" x14ac:dyDescent="0.3">
      <c r="A420" t="s">
        <v>153</v>
      </c>
      <c r="B420" t="s">
        <v>122</v>
      </c>
      <c r="C420">
        <v>2023</v>
      </c>
      <c r="D420" s="4">
        <v>8442</v>
      </c>
      <c r="E420" s="26">
        <v>45195</v>
      </c>
      <c r="F420" s="5" t="str" cm="1">
        <f t="array" ref="F420">_xlfn.IFS(D420 &gt;=5000, "A Kunde", D420 &gt;= 10000, "B Kunde", TRUE, "C Kunde")</f>
        <v>A Kunde</v>
      </c>
    </row>
    <row r="421" spans="1:6" x14ac:dyDescent="0.3">
      <c r="A421" t="s">
        <v>146</v>
      </c>
      <c r="B421" t="s">
        <v>128</v>
      </c>
      <c r="C421">
        <v>2023</v>
      </c>
      <c r="D421" s="4">
        <v>2695.67</v>
      </c>
      <c r="E421" s="26">
        <v>45259</v>
      </c>
      <c r="F421" s="5" t="str" cm="1">
        <f t="array" ref="F421">_xlfn.IFS(D421 &gt;=5000, "A Kunde", D421 &gt;= 10000, "B Kunde", TRUE, "C Kunde")</f>
        <v>C Kunde</v>
      </c>
    </row>
    <row r="422" spans="1:6" x14ac:dyDescent="0.3">
      <c r="A422" t="s">
        <v>153</v>
      </c>
      <c r="B422" t="s">
        <v>122</v>
      </c>
      <c r="C422">
        <v>2023</v>
      </c>
      <c r="D422" s="4">
        <v>10152.33</v>
      </c>
      <c r="E422" s="26">
        <v>45266</v>
      </c>
      <c r="F422" s="5" t="str" cm="1">
        <f t="array" ref="F422">_xlfn.IFS(D422 &gt;=5000, "A Kunde", D422 &gt;= 10000, "B Kunde", TRUE, "C Kunde")</f>
        <v>A Kunde</v>
      </c>
    </row>
    <row r="423" spans="1:6" x14ac:dyDescent="0.3">
      <c r="A423" t="s">
        <v>134</v>
      </c>
      <c r="B423" t="s">
        <v>120</v>
      </c>
      <c r="C423">
        <v>2025</v>
      </c>
      <c r="D423" s="4">
        <v>5227.33</v>
      </c>
      <c r="E423" s="26">
        <v>45768</v>
      </c>
      <c r="F423" s="5" t="str" cm="1">
        <f t="array" ref="F423">_xlfn.IFS(D423 &gt;=5000, "A Kunde", D423 &gt;= 10000, "B Kunde", TRUE, "C Kunde")</f>
        <v>A Kunde</v>
      </c>
    </row>
    <row r="424" spans="1:6" x14ac:dyDescent="0.3">
      <c r="A424" t="s">
        <v>125</v>
      </c>
      <c r="B424" t="s">
        <v>122</v>
      </c>
      <c r="C424">
        <v>2025</v>
      </c>
      <c r="D424" s="4">
        <v>8626.2199999999993</v>
      </c>
      <c r="E424" s="26">
        <v>45836</v>
      </c>
      <c r="F424" s="5" t="str" cm="1">
        <f t="array" ref="F424">_xlfn.IFS(D424 &gt;=5000, "A Kunde", D424 &gt;= 10000, "B Kunde", TRUE, "C Kunde")</f>
        <v>A Kunde</v>
      </c>
    </row>
    <row r="425" spans="1:6" x14ac:dyDescent="0.3">
      <c r="A425" t="s">
        <v>151</v>
      </c>
      <c r="B425" t="s">
        <v>120</v>
      </c>
      <c r="C425">
        <v>2024</v>
      </c>
      <c r="D425" s="4">
        <v>7569.35</v>
      </c>
      <c r="E425" s="26">
        <v>45406</v>
      </c>
      <c r="F425" s="5" t="str" cm="1">
        <f t="array" ref="F425">_xlfn.IFS(D425 &gt;=5000, "A Kunde", D425 &gt;= 10000, "B Kunde", TRUE, "C Kunde")</f>
        <v>A Kunde</v>
      </c>
    </row>
    <row r="426" spans="1:6" x14ac:dyDescent="0.3">
      <c r="A426" t="s">
        <v>149</v>
      </c>
      <c r="B426" t="s">
        <v>122</v>
      </c>
      <c r="C426">
        <v>2025</v>
      </c>
      <c r="D426" s="4">
        <v>12674.85</v>
      </c>
      <c r="E426" s="26">
        <v>45887</v>
      </c>
      <c r="F426" s="5" t="str" cm="1">
        <f t="array" ref="F426">_xlfn.IFS(D426 &gt;=5000, "A Kunde", D426 &gt;= 10000, "B Kunde", TRUE, "C Kunde")</f>
        <v>A Kunde</v>
      </c>
    </row>
    <row r="427" spans="1:6" x14ac:dyDescent="0.3">
      <c r="A427" t="s">
        <v>118</v>
      </c>
      <c r="B427" t="s">
        <v>116</v>
      </c>
      <c r="C427">
        <v>2025</v>
      </c>
      <c r="D427" s="4">
        <v>9560.6299999999992</v>
      </c>
      <c r="E427" s="26">
        <v>45680</v>
      </c>
      <c r="F427" s="5" t="str" cm="1">
        <f t="array" ref="F427">_xlfn.IFS(D427 &gt;=5000, "A Kunde", D427 &gt;= 10000, "B Kunde", TRUE, "C Kunde")</f>
        <v>A Kunde</v>
      </c>
    </row>
    <row r="428" spans="1:6" x14ac:dyDescent="0.3">
      <c r="A428" t="s">
        <v>133</v>
      </c>
      <c r="B428" t="s">
        <v>128</v>
      </c>
      <c r="C428">
        <v>2025</v>
      </c>
      <c r="D428" s="4">
        <v>6571.18</v>
      </c>
      <c r="E428" s="26">
        <v>45829</v>
      </c>
      <c r="F428" s="5" t="str" cm="1">
        <f t="array" ref="F428">_xlfn.IFS(D428 &gt;=5000, "A Kunde", D428 &gt;= 10000, "B Kunde", TRUE, "C Kunde")</f>
        <v>A Kunde</v>
      </c>
    </row>
    <row r="429" spans="1:6" x14ac:dyDescent="0.3">
      <c r="A429" t="s">
        <v>130</v>
      </c>
      <c r="B429" t="s">
        <v>116</v>
      </c>
      <c r="C429">
        <v>2025</v>
      </c>
      <c r="D429" s="4">
        <v>7140.11</v>
      </c>
      <c r="E429" s="26">
        <v>45709</v>
      </c>
      <c r="F429" s="5" t="str" cm="1">
        <f t="array" ref="F429">_xlfn.IFS(D429 &gt;=5000, "A Kunde", D429 &gt;= 10000, "B Kunde", TRUE, "C Kunde")</f>
        <v>A Kunde</v>
      </c>
    </row>
    <row r="430" spans="1:6" x14ac:dyDescent="0.3">
      <c r="A430" t="s">
        <v>148</v>
      </c>
      <c r="B430" t="s">
        <v>120</v>
      </c>
      <c r="C430">
        <v>2023</v>
      </c>
      <c r="D430" s="4">
        <v>11473.1</v>
      </c>
      <c r="E430" s="26">
        <v>45258</v>
      </c>
      <c r="F430" s="5" t="str" cm="1">
        <f t="array" ref="F430">_xlfn.IFS(D430 &gt;=5000, "A Kunde", D430 &gt;= 10000, "B Kunde", TRUE, "C Kunde")</f>
        <v>A Kunde</v>
      </c>
    </row>
    <row r="431" spans="1:6" x14ac:dyDescent="0.3">
      <c r="A431" t="s">
        <v>143</v>
      </c>
      <c r="B431" t="s">
        <v>122</v>
      </c>
      <c r="C431">
        <v>2023</v>
      </c>
      <c r="D431" s="4">
        <v>12247.43</v>
      </c>
      <c r="E431" s="26">
        <v>45210</v>
      </c>
      <c r="F431" s="5" t="str" cm="1">
        <f t="array" ref="F431">_xlfn.IFS(D431 &gt;=5000, "A Kunde", D431 &gt;= 10000, "B Kunde", TRUE, "C Kunde")</f>
        <v>A Kunde</v>
      </c>
    </row>
    <row r="432" spans="1:6" x14ac:dyDescent="0.3">
      <c r="A432" t="s">
        <v>115</v>
      </c>
      <c r="B432" t="s">
        <v>116</v>
      </c>
      <c r="C432">
        <v>2025</v>
      </c>
      <c r="D432" s="4">
        <v>12262.81</v>
      </c>
      <c r="E432" s="26">
        <v>45911</v>
      </c>
      <c r="F432" s="5" t="str" cm="1">
        <f t="array" ref="F432">_xlfn.IFS(D432 &gt;=5000, "A Kunde", D432 &gt;= 10000, "B Kunde", TRUE, "C Kunde")</f>
        <v>A Kunde</v>
      </c>
    </row>
    <row r="433" spans="1:6" x14ac:dyDescent="0.3">
      <c r="A433" t="s">
        <v>123</v>
      </c>
      <c r="B433" t="s">
        <v>120</v>
      </c>
      <c r="C433">
        <v>2023</v>
      </c>
      <c r="D433" s="4">
        <v>10017.33</v>
      </c>
      <c r="E433" s="26">
        <v>45137</v>
      </c>
      <c r="F433" s="5" t="str" cm="1">
        <f t="array" ref="F433">_xlfn.IFS(D433 &gt;=5000, "A Kunde", D433 &gt;= 10000, "B Kunde", TRUE, "C Kunde")</f>
        <v>A Kunde</v>
      </c>
    </row>
    <row r="434" spans="1:6" x14ac:dyDescent="0.3">
      <c r="A434" t="s">
        <v>141</v>
      </c>
      <c r="B434" t="s">
        <v>116</v>
      </c>
      <c r="C434">
        <v>2023</v>
      </c>
      <c r="D434" s="4">
        <v>4133.87</v>
      </c>
      <c r="E434" s="26">
        <v>45182</v>
      </c>
      <c r="F434" s="5" t="str" cm="1">
        <f t="array" ref="F434">_xlfn.IFS(D434 &gt;=5000, "A Kunde", D434 &gt;= 10000, "B Kunde", TRUE, "C Kunde")</f>
        <v>C Kunde</v>
      </c>
    </row>
    <row r="435" spans="1:6" x14ac:dyDescent="0.3">
      <c r="A435" t="s">
        <v>152</v>
      </c>
      <c r="B435" t="s">
        <v>116</v>
      </c>
      <c r="C435">
        <v>2024</v>
      </c>
      <c r="D435" s="4">
        <v>6400.61</v>
      </c>
      <c r="E435" s="26">
        <v>45485</v>
      </c>
      <c r="F435" s="5" t="str" cm="1">
        <f t="array" ref="F435">_xlfn.IFS(D435 &gt;=5000, "A Kunde", D435 &gt;= 10000, "B Kunde", TRUE, "C Kunde")</f>
        <v>A Kunde</v>
      </c>
    </row>
    <row r="436" spans="1:6" x14ac:dyDescent="0.3">
      <c r="A436" t="s">
        <v>132</v>
      </c>
      <c r="B436" t="s">
        <v>128</v>
      </c>
      <c r="C436">
        <v>2023</v>
      </c>
      <c r="D436" s="4">
        <v>11668.44</v>
      </c>
      <c r="E436" s="26">
        <v>45228</v>
      </c>
      <c r="F436" s="5" t="str" cm="1">
        <f t="array" ref="F436">_xlfn.IFS(D436 &gt;=5000, "A Kunde", D436 &gt;= 10000, "B Kunde", TRUE, "C Kunde")</f>
        <v>A Kunde</v>
      </c>
    </row>
    <row r="437" spans="1:6" x14ac:dyDescent="0.3">
      <c r="A437" t="s">
        <v>158</v>
      </c>
      <c r="B437" t="s">
        <v>120</v>
      </c>
      <c r="C437">
        <v>2024</v>
      </c>
      <c r="D437" s="4">
        <v>11470.5</v>
      </c>
      <c r="E437" s="26">
        <v>45381</v>
      </c>
      <c r="F437" s="5" t="str" cm="1">
        <f t="array" ref="F437">_xlfn.IFS(D437 &gt;=5000, "A Kunde", D437 &gt;= 10000, "B Kunde", TRUE, "C Kunde")</f>
        <v>A Kunde</v>
      </c>
    </row>
    <row r="438" spans="1:6" x14ac:dyDescent="0.3">
      <c r="A438" t="s">
        <v>139</v>
      </c>
      <c r="B438" t="s">
        <v>120</v>
      </c>
      <c r="C438">
        <v>2023</v>
      </c>
      <c r="D438" s="4">
        <v>5925.58</v>
      </c>
      <c r="E438" s="26">
        <v>44981</v>
      </c>
      <c r="F438" s="5" t="str" cm="1">
        <f t="array" ref="F438">_xlfn.IFS(D438 &gt;=5000, "A Kunde", D438 &gt;= 10000, "B Kunde", TRUE, "C Kunde")</f>
        <v>A Kunde</v>
      </c>
    </row>
    <row r="439" spans="1:6" x14ac:dyDescent="0.3">
      <c r="A439" t="s">
        <v>155</v>
      </c>
      <c r="B439" t="s">
        <v>128</v>
      </c>
      <c r="C439">
        <v>2025</v>
      </c>
      <c r="D439" s="4">
        <v>5360.67</v>
      </c>
      <c r="E439" s="26">
        <v>45955</v>
      </c>
      <c r="F439" s="5" t="str" cm="1">
        <f t="array" ref="F439">_xlfn.IFS(D439 &gt;=5000, "A Kunde", D439 &gt;= 10000, "B Kunde", TRUE, "C Kunde")</f>
        <v>A Kunde</v>
      </c>
    </row>
    <row r="440" spans="1:6" x14ac:dyDescent="0.3">
      <c r="A440" t="s">
        <v>127</v>
      </c>
      <c r="B440" t="s">
        <v>128</v>
      </c>
      <c r="C440">
        <v>2023</v>
      </c>
      <c r="D440" s="4">
        <v>5373.79</v>
      </c>
      <c r="E440" s="26">
        <v>45094</v>
      </c>
      <c r="F440" s="5" t="str" cm="1">
        <f t="array" ref="F440">_xlfn.IFS(D440 &gt;=5000, "A Kunde", D440 &gt;= 10000, "B Kunde", TRUE, "C Kunde")</f>
        <v>A Kunde</v>
      </c>
    </row>
    <row r="441" spans="1:6" x14ac:dyDescent="0.3">
      <c r="A441" t="s">
        <v>159</v>
      </c>
      <c r="B441" t="s">
        <v>116</v>
      </c>
      <c r="C441">
        <v>2024</v>
      </c>
      <c r="D441" s="4">
        <v>13045.4</v>
      </c>
      <c r="E441" s="26">
        <v>45579</v>
      </c>
      <c r="F441" s="5" t="str" cm="1">
        <f t="array" ref="F441">_xlfn.IFS(D441 &gt;=5000, "A Kunde", D441 &gt;= 10000, "B Kunde", TRUE, "C Kunde")</f>
        <v>A Kunde</v>
      </c>
    </row>
    <row r="442" spans="1:6" x14ac:dyDescent="0.3">
      <c r="A442" t="s">
        <v>117</v>
      </c>
      <c r="B442" t="s">
        <v>116</v>
      </c>
      <c r="C442">
        <v>2023</v>
      </c>
      <c r="D442" s="4">
        <v>2098.87</v>
      </c>
      <c r="E442" s="26">
        <v>45226</v>
      </c>
      <c r="F442" s="5" t="str" cm="1">
        <f t="array" ref="F442">_xlfn.IFS(D442 &gt;=5000, "A Kunde", D442 &gt;= 10000, "B Kunde", TRUE, "C Kunde")</f>
        <v>C Kunde</v>
      </c>
    </row>
    <row r="443" spans="1:6" x14ac:dyDescent="0.3">
      <c r="A443" t="s">
        <v>130</v>
      </c>
      <c r="B443" t="s">
        <v>116</v>
      </c>
      <c r="C443">
        <v>2025</v>
      </c>
      <c r="D443" s="4">
        <v>9805.7900000000009</v>
      </c>
      <c r="E443" s="26">
        <v>45894</v>
      </c>
      <c r="F443" s="5" t="str" cm="1">
        <f t="array" ref="F443">_xlfn.IFS(D443 &gt;=5000, "A Kunde", D443 &gt;= 10000, "B Kunde", TRUE, "C Kunde")</f>
        <v>A Kunde</v>
      </c>
    </row>
    <row r="444" spans="1:6" x14ac:dyDescent="0.3">
      <c r="A444" t="s">
        <v>137</v>
      </c>
      <c r="B444" t="s">
        <v>128</v>
      </c>
      <c r="C444">
        <v>2025</v>
      </c>
      <c r="D444" s="4">
        <v>6390.7</v>
      </c>
      <c r="E444" s="26">
        <v>45887</v>
      </c>
      <c r="F444" s="5" t="str" cm="1">
        <f t="array" ref="F444">_xlfn.IFS(D444 &gt;=5000, "A Kunde", D444 &gt;= 10000, "B Kunde", TRUE, "C Kunde")</f>
        <v>A Kunde</v>
      </c>
    </row>
    <row r="445" spans="1:6" x14ac:dyDescent="0.3">
      <c r="A445" t="s">
        <v>150</v>
      </c>
      <c r="B445" t="s">
        <v>116</v>
      </c>
      <c r="C445">
        <v>2023</v>
      </c>
      <c r="D445" s="4">
        <v>462.25</v>
      </c>
      <c r="E445" s="26">
        <v>45089</v>
      </c>
      <c r="F445" s="5" t="str" cm="1">
        <f t="array" ref="F445">_xlfn.IFS(D445 &gt;=5000, "A Kunde", D445 &gt;= 10000, "B Kunde", TRUE, "C Kunde")</f>
        <v>C Kunde</v>
      </c>
    </row>
    <row r="446" spans="1:6" x14ac:dyDescent="0.3">
      <c r="A446" t="s">
        <v>138</v>
      </c>
      <c r="B446" t="s">
        <v>122</v>
      </c>
      <c r="C446">
        <v>2023</v>
      </c>
      <c r="D446" s="4">
        <v>7773.5</v>
      </c>
      <c r="E446" s="26">
        <v>45233</v>
      </c>
      <c r="F446" s="5" t="str" cm="1">
        <f t="array" ref="F446">_xlfn.IFS(D446 &gt;=5000, "A Kunde", D446 &gt;= 10000, "B Kunde", TRUE, "C Kunde")</f>
        <v>A Kunde</v>
      </c>
    </row>
    <row r="447" spans="1:6" x14ac:dyDescent="0.3">
      <c r="A447" t="s">
        <v>143</v>
      </c>
      <c r="B447" t="s">
        <v>122</v>
      </c>
      <c r="C447">
        <v>2025</v>
      </c>
      <c r="D447" s="4">
        <v>6040.92</v>
      </c>
      <c r="E447" s="26">
        <v>46007</v>
      </c>
      <c r="F447" s="5" t="str" cm="1">
        <f t="array" ref="F447">_xlfn.IFS(D447 &gt;=5000, "A Kunde", D447 &gt;= 10000, "B Kunde", TRUE, "C Kunde")</f>
        <v>A Kunde</v>
      </c>
    </row>
    <row r="448" spans="1:6" x14ac:dyDescent="0.3">
      <c r="A448" t="s">
        <v>130</v>
      </c>
      <c r="B448" t="s">
        <v>116</v>
      </c>
      <c r="C448">
        <v>2024</v>
      </c>
      <c r="D448" s="4">
        <v>4355.8900000000003</v>
      </c>
      <c r="E448" s="26">
        <v>45413</v>
      </c>
      <c r="F448" s="5" t="str" cm="1">
        <f t="array" ref="F448">_xlfn.IFS(D448 &gt;=5000, "A Kunde", D448 &gt;= 10000, "B Kunde", TRUE, "C Kunde")</f>
        <v>C Kunde</v>
      </c>
    </row>
    <row r="449" spans="1:6" x14ac:dyDescent="0.3">
      <c r="A449" t="s">
        <v>115</v>
      </c>
      <c r="B449" t="s">
        <v>116</v>
      </c>
      <c r="C449">
        <v>2024</v>
      </c>
      <c r="D449" s="4">
        <v>5993.59</v>
      </c>
      <c r="E449" s="26">
        <v>45415</v>
      </c>
      <c r="F449" s="5" t="str" cm="1">
        <f t="array" ref="F449">_xlfn.IFS(D449 &gt;=5000, "A Kunde", D449 &gt;= 10000, "B Kunde", TRUE, "C Kunde")</f>
        <v>A Kunde</v>
      </c>
    </row>
    <row r="450" spans="1:6" x14ac:dyDescent="0.3">
      <c r="A450" t="s">
        <v>153</v>
      </c>
      <c r="B450" t="s">
        <v>122</v>
      </c>
      <c r="C450">
        <v>2025</v>
      </c>
      <c r="D450" s="4">
        <v>1066.74</v>
      </c>
      <c r="E450" s="26">
        <v>45863</v>
      </c>
      <c r="F450" s="5" t="str" cm="1">
        <f t="array" ref="F450">_xlfn.IFS(D450 &gt;=5000, "A Kunde", D450 &gt;= 10000, "B Kunde", TRUE, "C Kunde")</f>
        <v>C Kunde</v>
      </c>
    </row>
    <row r="451" spans="1:6" x14ac:dyDescent="0.3">
      <c r="A451" t="s">
        <v>156</v>
      </c>
      <c r="B451" t="s">
        <v>128</v>
      </c>
      <c r="C451">
        <v>2023</v>
      </c>
      <c r="D451" s="4">
        <v>8920.98</v>
      </c>
      <c r="E451" s="26">
        <v>44960</v>
      </c>
      <c r="F451" s="5" t="str" cm="1">
        <f t="array" ref="F451">_xlfn.IFS(D451 &gt;=5000, "A Kunde", D451 &gt;= 10000, "B Kunde", TRUE, "C Kunde")</f>
        <v>A Kunde</v>
      </c>
    </row>
    <row r="452" spans="1:6" x14ac:dyDescent="0.3">
      <c r="A452" t="s">
        <v>133</v>
      </c>
      <c r="B452" t="s">
        <v>128</v>
      </c>
      <c r="C452">
        <v>2024</v>
      </c>
      <c r="D452" s="4">
        <v>10115.91</v>
      </c>
      <c r="E452" s="26">
        <v>45422</v>
      </c>
      <c r="F452" s="5" t="str" cm="1">
        <f t="array" ref="F452">_xlfn.IFS(D452 &gt;=5000, "A Kunde", D452 &gt;= 10000, "B Kunde", TRUE, "C Kunde")</f>
        <v>A Kunde</v>
      </c>
    </row>
    <row r="453" spans="1:6" x14ac:dyDescent="0.3">
      <c r="A453" t="s">
        <v>130</v>
      </c>
      <c r="B453" t="s">
        <v>116</v>
      </c>
      <c r="C453">
        <v>2025</v>
      </c>
      <c r="D453" s="4">
        <v>221.59</v>
      </c>
      <c r="E453" s="26">
        <v>45806</v>
      </c>
      <c r="F453" s="5" t="str" cm="1">
        <f t="array" ref="F453">_xlfn.IFS(D453 &gt;=5000, "A Kunde", D453 &gt;= 10000, "B Kunde", TRUE, "C Kunde")</f>
        <v>C Kunde</v>
      </c>
    </row>
    <row r="454" spans="1:6" x14ac:dyDescent="0.3">
      <c r="A454" t="s">
        <v>139</v>
      </c>
      <c r="B454" t="s">
        <v>120</v>
      </c>
      <c r="C454">
        <v>2024</v>
      </c>
      <c r="D454" s="4">
        <v>8075.16</v>
      </c>
      <c r="E454" s="26">
        <v>45419</v>
      </c>
      <c r="F454" s="5" t="str" cm="1">
        <f t="array" ref="F454">_xlfn.IFS(D454 &gt;=5000, "A Kunde", D454 &gt;= 10000, "B Kunde", TRUE, "C Kunde")</f>
        <v>A Kunde</v>
      </c>
    </row>
    <row r="455" spans="1:6" x14ac:dyDescent="0.3">
      <c r="A455" t="s">
        <v>119</v>
      </c>
      <c r="B455" t="s">
        <v>120</v>
      </c>
      <c r="C455">
        <v>2023</v>
      </c>
      <c r="D455" s="4">
        <v>7424.09</v>
      </c>
      <c r="E455" s="26">
        <v>45102</v>
      </c>
      <c r="F455" s="5" t="str" cm="1">
        <f t="array" ref="F455">_xlfn.IFS(D455 &gt;=5000, "A Kunde", D455 &gt;= 10000, "B Kunde", TRUE, "C Kunde")</f>
        <v>A Kunde</v>
      </c>
    </row>
    <row r="456" spans="1:6" x14ac:dyDescent="0.3">
      <c r="A456" t="s">
        <v>140</v>
      </c>
      <c r="B456" t="s">
        <v>128</v>
      </c>
      <c r="C456">
        <v>2023</v>
      </c>
      <c r="D456" s="4">
        <v>13356.97</v>
      </c>
      <c r="E456" s="26">
        <v>45065</v>
      </c>
      <c r="F456" s="5" t="str" cm="1">
        <f t="array" ref="F456">_xlfn.IFS(D456 &gt;=5000, "A Kunde", D456 &gt;= 10000, "B Kunde", TRUE, "C Kunde")</f>
        <v>A Kunde</v>
      </c>
    </row>
    <row r="457" spans="1:6" x14ac:dyDescent="0.3">
      <c r="A457" t="s">
        <v>124</v>
      </c>
      <c r="B457" t="s">
        <v>120</v>
      </c>
      <c r="C457">
        <v>2025</v>
      </c>
      <c r="D457" s="4">
        <v>11052.49</v>
      </c>
      <c r="E457" s="26">
        <v>45966</v>
      </c>
      <c r="F457" s="5" t="str" cm="1">
        <f t="array" ref="F457">_xlfn.IFS(D457 &gt;=5000, "A Kunde", D457 &gt;= 10000, "B Kunde", TRUE, "C Kunde")</f>
        <v>A Kunde</v>
      </c>
    </row>
    <row r="458" spans="1:6" x14ac:dyDescent="0.3">
      <c r="A458" t="s">
        <v>132</v>
      </c>
      <c r="B458" t="s">
        <v>128</v>
      </c>
      <c r="C458">
        <v>2023</v>
      </c>
      <c r="D458" s="4">
        <v>5588.26</v>
      </c>
      <c r="E458" s="26">
        <v>44968</v>
      </c>
      <c r="F458" s="5" t="str" cm="1">
        <f t="array" ref="F458">_xlfn.IFS(D458 &gt;=5000, "A Kunde", D458 &gt;= 10000, "B Kunde", TRUE, "C Kunde")</f>
        <v>A Kunde</v>
      </c>
    </row>
    <row r="459" spans="1:6" x14ac:dyDescent="0.3">
      <c r="A459" t="s">
        <v>126</v>
      </c>
      <c r="B459" t="s">
        <v>116</v>
      </c>
      <c r="C459">
        <v>2023</v>
      </c>
      <c r="D459" s="4">
        <v>8972.26</v>
      </c>
      <c r="E459" s="26">
        <v>45016</v>
      </c>
      <c r="F459" s="5" t="str" cm="1">
        <f t="array" ref="F459">_xlfn.IFS(D459 &gt;=5000, "A Kunde", D459 &gt;= 10000, "B Kunde", TRUE, "C Kunde")</f>
        <v>A Kunde</v>
      </c>
    </row>
    <row r="460" spans="1:6" x14ac:dyDescent="0.3">
      <c r="A460" t="s">
        <v>140</v>
      </c>
      <c r="B460" t="s">
        <v>128</v>
      </c>
      <c r="C460">
        <v>2024</v>
      </c>
      <c r="D460" s="4">
        <v>10512.97</v>
      </c>
      <c r="E460" s="26">
        <v>45446</v>
      </c>
      <c r="F460" s="5" t="str" cm="1">
        <f t="array" ref="F460">_xlfn.IFS(D460 &gt;=5000, "A Kunde", D460 &gt;= 10000, "B Kunde", TRUE, "C Kunde")</f>
        <v>A Kunde</v>
      </c>
    </row>
    <row r="461" spans="1:6" x14ac:dyDescent="0.3">
      <c r="A461" t="s">
        <v>139</v>
      </c>
      <c r="B461" t="s">
        <v>120</v>
      </c>
      <c r="C461">
        <v>2023</v>
      </c>
      <c r="D461" s="4">
        <v>4958.2700000000004</v>
      </c>
      <c r="E461" s="26">
        <v>45065</v>
      </c>
      <c r="F461" s="5" t="str" cm="1">
        <f t="array" ref="F461">_xlfn.IFS(D461 &gt;=5000, "A Kunde", D461 &gt;= 10000, "B Kunde", TRUE, "C Kunde")</f>
        <v>C Kunde</v>
      </c>
    </row>
    <row r="462" spans="1:6" x14ac:dyDescent="0.3">
      <c r="A462" t="s">
        <v>142</v>
      </c>
      <c r="B462" t="s">
        <v>120</v>
      </c>
      <c r="C462">
        <v>2024</v>
      </c>
      <c r="D462" s="4">
        <v>2041.05</v>
      </c>
      <c r="E462" s="26">
        <v>45607</v>
      </c>
      <c r="F462" s="5" t="str" cm="1">
        <f t="array" ref="F462">_xlfn.IFS(D462 &gt;=5000, "A Kunde", D462 &gt;= 10000, "B Kunde", TRUE, "C Kunde")</f>
        <v>C Kunde</v>
      </c>
    </row>
    <row r="463" spans="1:6" x14ac:dyDescent="0.3">
      <c r="A463" t="s">
        <v>139</v>
      </c>
      <c r="B463" t="s">
        <v>120</v>
      </c>
      <c r="C463">
        <v>2024</v>
      </c>
      <c r="D463" s="4">
        <v>11426.42</v>
      </c>
      <c r="E463" s="26">
        <v>45620</v>
      </c>
      <c r="F463" s="5" t="str" cm="1">
        <f t="array" ref="F463">_xlfn.IFS(D463 &gt;=5000, "A Kunde", D463 &gt;= 10000, "B Kunde", TRUE, "C Kunde")</f>
        <v>A Kunde</v>
      </c>
    </row>
    <row r="464" spans="1:6" x14ac:dyDescent="0.3">
      <c r="A464" t="s">
        <v>119</v>
      </c>
      <c r="B464" t="s">
        <v>120</v>
      </c>
      <c r="C464">
        <v>2025</v>
      </c>
      <c r="D464" s="4">
        <v>13735.3</v>
      </c>
      <c r="E464" s="26">
        <v>45878</v>
      </c>
      <c r="F464" s="5" t="str" cm="1">
        <f t="array" ref="F464">_xlfn.IFS(D464 &gt;=5000, "A Kunde", D464 &gt;= 10000, "B Kunde", TRUE, "C Kunde")</f>
        <v>A Kunde</v>
      </c>
    </row>
    <row r="465" spans="1:6" x14ac:dyDescent="0.3">
      <c r="A465" t="s">
        <v>126</v>
      </c>
      <c r="B465" t="s">
        <v>116</v>
      </c>
      <c r="C465">
        <v>2024</v>
      </c>
      <c r="D465" s="4">
        <v>11398.67</v>
      </c>
      <c r="E465" s="26">
        <v>45300</v>
      </c>
      <c r="F465" s="5" t="str" cm="1">
        <f t="array" ref="F465">_xlfn.IFS(D465 &gt;=5000, "A Kunde", D465 &gt;= 10000, "B Kunde", TRUE, "C Kunde")</f>
        <v>A Kunde</v>
      </c>
    </row>
    <row r="466" spans="1:6" x14ac:dyDescent="0.3">
      <c r="A466" t="s">
        <v>121</v>
      </c>
      <c r="B466" t="s">
        <v>122</v>
      </c>
      <c r="C466">
        <v>2025</v>
      </c>
      <c r="D466" s="4">
        <v>710.38</v>
      </c>
      <c r="E466" s="26">
        <v>45864</v>
      </c>
      <c r="F466" s="5" t="str" cm="1">
        <f t="array" ref="F466">_xlfn.IFS(D466 &gt;=5000, "A Kunde", D466 &gt;= 10000, "B Kunde", TRUE, "C Kunde")</f>
        <v>C Kunde</v>
      </c>
    </row>
    <row r="467" spans="1:6" x14ac:dyDescent="0.3">
      <c r="A467" t="s">
        <v>118</v>
      </c>
      <c r="B467" t="s">
        <v>116</v>
      </c>
      <c r="C467">
        <v>2023</v>
      </c>
      <c r="D467" s="4">
        <v>11117.31</v>
      </c>
      <c r="E467" s="26">
        <v>45016</v>
      </c>
      <c r="F467" s="5" t="str" cm="1">
        <f t="array" ref="F467">_xlfn.IFS(D467 &gt;=5000, "A Kunde", D467 &gt;= 10000, "B Kunde", TRUE, "C Kunde")</f>
        <v>A Kunde</v>
      </c>
    </row>
    <row r="468" spans="1:6" x14ac:dyDescent="0.3">
      <c r="A468" t="s">
        <v>134</v>
      </c>
      <c r="B468" t="s">
        <v>120</v>
      </c>
      <c r="C468">
        <v>2024</v>
      </c>
      <c r="D468" s="4">
        <v>13080.52</v>
      </c>
      <c r="E468" s="26">
        <v>45573</v>
      </c>
      <c r="F468" s="5" t="str" cm="1">
        <f t="array" ref="F468">_xlfn.IFS(D468 &gt;=5000, "A Kunde", D468 &gt;= 10000, "B Kunde", TRUE, "C Kunde")</f>
        <v>A Kunde</v>
      </c>
    </row>
    <row r="469" spans="1:6" x14ac:dyDescent="0.3">
      <c r="A469" t="s">
        <v>132</v>
      </c>
      <c r="B469" t="s">
        <v>128</v>
      </c>
      <c r="C469">
        <v>2025</v>
      </c>
      <c r="D469" s="4">
        <v>13849.89</v>
      </c>
      <c r="E469" s="26">
        <v>45742</v>
      </c>
      <c r="F469" s="5" t="str" cm="1">
        <f t="array" ref="F469">_xlfn.IFS(D469 &gt;=5000, "A Kunde", D469 &gt;= 10000, "B Kunde", TRUE, "C Kunde")</f>
        <v>A Kunde</v>
      </c>
    </row>
    <row r="470" spans="1:6" x14ac:dyDescent="0.3">
      <c r="A470" t="s">
        <v>124</v>
      </c>
      <c r="B470" t="s">
        <v>120</v>
      </c>
      <c r="C470">
        <v>2025</v>
      </c>
      <c r="D470" s="4">
        <v>3695.73</v>
      </c>
      <c r="E470" s="26">
        <v>45896</v>
      </c>
      <c r="F470" s="5" t="str" cm="1">
        <f t="array" ref="F470">_xlfn.IFS(D470 &gt;=5000, "A Kunde", D470 &gt;= 10000, "B Kunde", TRUE, "C Kunde")</f>
        <v>C Kunde</v>
      </c>
    </row>
    <row r="471" spans="1:6" x14ac:dyDescent="0.3">
      <c r="A471" t="s">
        <v>118</v>
      </c>
      <c r="B471" t="s">
        <v>116</v>
      </c>
      <c r="C471">
        <v>2024</v>
      </c>
      <c r="D471" s="4">
        <v>5126.24</v>
      </c>
      <c r="E471" s="26">
        <v>45512</v>
      </c>
      <c r="F471" s="5" t="str" cm="1">
        <f t="array" ref="F471">_xlfn.IFS(D471 &gt;=5000, "A Kunde", D471 &gt;= 10000, "B Kunde", TRUE, "C Kunde")</f>
        <v>A Kunde</v>
      </c>
    </row>
    <row r="472" spans="1:6" x14ac:dyDescent="0.3">
      <c r="A472" t="s">
        <v>115</v>
      </c>
      <c r="B472" t="s">
        <v>116</v>
      </c>
      <c r="C472">
        <v>2024</v>
      </c>
      <c r="D472" s="4">
        <v>3970.39</v>
      </c>
      <c r="E472" s="26">
        <v>45606</v>
      </c>
      <c r="F472" s="5" t="str" cm="1">
        <f t="array" ref="F472">_xlfn.IFS(D472 &gt;=5000, "A Kunde", D472 &gt;= 10000, "B Kunde", TRUE, "C Kunde")</f>
        <v>C Kunde</v>
      </c>
    </row>
    <row r="473" spans="1:6" x14ac:dyDescent="0.3">
      <c r="A473" t="s">
        <v>140</v>
      </c>
      <c r="B473" t="s">
        <v>128</v>
      </c>
      <c r="C473">
        <v>2025</v>
      </c>
      <c r="D473" s="4">
        <v>12474.91</v>
      </c>
      <c r="E473" s="26">
        <v>45821</v>
      </c>
      <c r="F473" s="5" t="str" cm="1">
        <f t="array" ref="F473">_xlfn.IFS(D473 &gt;=5000, "A Kunde", D473 &gt;= 10000, "B Kunde", TRUE, "C Kunde")</f>
        <v>A Kunde</v>
      </c>
    </row>
    <row r="474" spans="1:6" x14ac:dyDescent="0.3">
      <c r="A474" t="s">
        <v>151</v>
      </c>
      <c r="B474" t="s">
        <v>120</v>
      </c>
      <c r="C474">
        <v>2025</v>
      </c>
      <c r="D474" s="4">
        <v>4878.71</v>
      </c>
      <c r="E474" s="26">
        <v>45718</v>
      </c>
      <c r="F474" s="5" t="str" cm="1">
        <f t="array" ref="F474">_xlfn.IFS(D474 &gt;=5000, "A Kunde", D474 &gt;= 10000, "B Kunde", TRUE, "C Kunde")</f>
        <v>C Kunde</v>
      </c>
    </row>
    <row r="475" spans="1:6" x14ac:dyDescent="0.3">
      <c r="A475" t="s">
        <v>119</v>
      </c>
      <c r="B475" t="s">
        <v>120</v>
      </c>
      <c r="C475">
        <v>2025</v>
      </c>
      <c r="D475" s="4">
        <v>9750.5499999999993</v>
      </c>
      <c r="E475" s="26">
        <v>45943</v>
      </c>
      <c r="F475" s="5" t="str" cm="1">
        <f t="array" ref="F475">_xlfn.IFS(D475 &gt;=5000, "A Kunde", D475 &gt;= 10000, "B Kunde", TRUE, "C Kunde")</f>
        <v>A Kunde</v>
      </c>
    </row>
    <row r="476" spans="1:6" x14ac:dyDescent="0.3">
      <c r="A476" t="s">
        <v>140</v>
      </c>
      <c r="B476" t="s">
        <v>128</v>
      </c>
      <c r="C476">
        <v>2025</v>
      </c>
      <c r="D476" s="4">
        <v>3880.75</v>
      </c>
      <c r="E476" s="26">
        <v>45990</v>
      </c>
      <c r="F476" s="5" t="str" cm="1">
        <f t="array" ref="F476">_xlfn.IFS(D476 &gt;=5000, "A Kunde", D476 &gt;= 10000, "B Kunde", TRUE, "C Kunde")</f>
        <v>C Kunde</v>
      </c>
    </row>
    <row r="477" spans="1:6" x14ac:dyDescent="0.3">
      <c r="A477" t="s">
        <v>158</v>
      </c>
      <c r="B477" t="s">
        <v>120</v>
      </c>
      <c r="C477">
        <v>2025</v>
      </c>
      <c r="D477" s="4">
        <v>1289.19</v>
      </c>
      <c r="E477" s="26">
        <v>45796</v>
      </c>
      <c r="F477" s="5" t="str" cm="1">
        <f t="array" ref="F477">_xlfn.IFS(D477 &gt;=5000, "A Kunde", D477 &gt;= 10000, "B Kunde", TRUE, "C Kunde")</f>
        <v>C Kunde</v>
      </c>
    </row>
    <row r="478" spans="1:6" x14ac:dyDescent="0.3">
      <c r="A478" t="s">
        <v>143</v>
      </c>
      <c r="B478" t="s">
        <v>122</v>
      </c>
      <c r="C478">
        <v>2024</v>
      </c>
      <c r="D478" s="4">
        <v>7727.55</v>
      </c>
      <c r="E478" s="26">
        <v>45296</v>
      </c>
      <c r="F478" s="5" t="str" cm="1">
        <f t="array" ref="F478">_xlfn.IFS(D478 &gt;=5000, "A Kunde", D478 &gt;= 10000, "B Kunde", TRUE, "C Kunde")</f>
        <v>A Kunde</v>
      </c>
    </row>
    <row r="479" spans="1:6" x14ac:dyDescent="0.3">
      <c r="A479" t="s">
        <v>136</v>
      </c>
      <c r="B479" t="s">
        <v>120</v>
      </c>
      <c r="C479">
        <v>2023</v>
      </c>
      <c r="D479" s="4">
        <v>1304.95</v>
      </c>
      <c r="E479" s="26">
        <v>45137</v>
      </c>
      <c r="F479" s="5" t="str" cm="1">
        <f t="array" ref="F479">_xlfn.IFS(D479 &gt;=5000, "A Kunde", D479 &gt;= 10000, "B Kunde", TRUE, "C Kunde")</f>
        <v>C Kunde</v>
      </c>
    </row>
    <row r="480" spans="1:6" x14ac:dyDescent="0.3">
      <c r="A480" t="s">
        <v>130</v>
      </c>
      <c r="B480" t="s">
        <v>116</v>
      </c>
      <c r="C480">
        <v>2024</v>
      </c>
      <c r="D480" s="4">
        <v>6353.64</v>
      </c>
      <c r="E480" s="26">
        <v>45554</v>
      </c>
      <c r="F480" s="5" t="str" cm="1">
        <f t="array" ref="F480">_xlfn.IFS(D480 &gt;=5000, "A Kunde", D480 &gt;= 10000, "B Kunde", TRUE, "C Kunde")</f>
        <v>A Kunde</v>
      </c>
    </row>
    <row r="481" spans="1:6" x14ac:dyDescent="0.3">
      <c r="A481" t="s">
        <v>144</v>
      </c>
      <c r="B481" t="s">
        <v>116</v>
      </c>
      <c r="C481">
        <v>2023</v>
      </c>
      <c r="D481" s="4">
        <v>9718.75</v>
      </c>
      <c r="E481" s="26">
        <v>45268</v>
      </c>
      <c r="F481" s="5" t="str" cm="1">
        <f t="array" ref="F481">_xlfn.IFS(D481 &gt;=5000, "A Kunde", D481 &gt;= 10000, "B Kunde", TRUE, "C Kunde")</f>
        <v>A Kunde</v>
      </c>
    </row>
    <row r="482" spans="1:6" x14ac:dyDescent="0.3">
      <c r="A482" t="s">
        <v>139</v>
      </c>
      <c r="B482" t="s">
        <v>120</v>
      </c>
      <c r="C482">
        <v>2025</v>
      </c>
      <c r="D482" s="4">
        <v>784.5</v>
      </c>
      <c r="E482" s="26">
        <v>45842</v>
      </c>
      <c r="F482" s="5" t="str" cm="1">
        <f t="array" ref="F482">_xlfn.IFS(D482 &gt;=5000, "A Kunde", D482 &gt;= 10000, "B Kunde", TRUE, "C Kunde")</f>
        <v>C Kunde</v>
      </c>
    </row>
    <row r="483" spans="1:6" x14ac:dyDescent="0.3">
      <c r="A483" t="s">
        <v>139</v>
      </c>
      <c r="B483" t="s">
        <v>120</v>
      </c>
      <c r="C483">
        <v>2025</v>
      </c>
      <c r="D483" s="4">
        <v>3988.86</v>
      </c>
      <c r="E483" s="26">
        <v>45817</v>
      </c>
      <c r="F483" s="5" t="str" cm="1">
        <f t="array" ref="F483">_xlfn.IFS(D483 &gt;=5000, "A Kunde", D483 &gt;= 10000, "B Kunde", TRUE, "C Kunde")</f>
        <v>C Kunde</v>
      </c>
    </row>
    <row r="484" spans="1:6" x14ac:dyDescent="0.3">
      <c r="A484" t="s">
        <v>115</v>
      </c>
      <c r="B484" t="s">
        <v>116</v>
      </c>
      <c r="C484">
        <v>2023</v>
      </c>
      <c r="D484" s="4">
        <v>9462.34</v>
      </c>
      <c r="E484" s="26">
        <v>45080</v>
      </c>
      <c r="F484" s="5" t="str" cm="1">
        <f t="array" ref="F484">_xlfn.IFS(D484 &gt;=5000, "A Kunde", D484 &gt;= 10000, "B Kunde", TRUE, "C Kunde")</f>
        <v>A Kunde</v>
      </c>
    </row>
    <row r="485" spans="1:6" x14ac:dyDescent="0.3">
      <c r="A485" t="s">
        <v>155</v>
      </c>
      <c r="B485" t="s">
        <v>128</v>
      </c>
      <c r="C485">
        <v>2025</v>
      </c>
      <c r="D485" s="4">
        <v>7280.59</v>
      </c>
      <c r="E485" s="26">
        <v>45671</v>
      </c>
      <c r="F485" s="5" t="str" cm="1">
        <f t="array" ref="F485">_xlfn.IFS(D485 &gt;=5000, "A Kunde", D485 &gt;= 10000, "B Kunde", TRUE, "C Kunde")</f>
        <v>A Kunde</v>
      </c>
    </row>
    <row r="486" spans="1:6" x14ac:dyDescent="0.3">
      <c r="A486" t="s">
        <v>152</v>
      </c>
      <c r="B486" t="s">
        <v>116</v>
      </c>
      <c r="C486">
        <v>2023</v>
      </c>
      <c r="D486" s="4">
        <v>2170.36</v>
      </c>
      <c r="E486" s="26">
        <v>44990</v>
      </c>
      <c r="F486" s="5" t="str" cm="1">
        <f t="array" ref="F486">_xlfn.IFS(D486 &gt;=5000, "A Kunde", D486 &gt;= 10000, "B Kunde", TRUE, "C Kunde")</f>
        <v>C Kunde</v>
      </c>
    </row>
    <row r="487" spans="1:6" x14ac:dyDescent="0.3">
      <c r="A487" t="s">
        <v>143</v>
      </c>
      <c r="B487" t="s">
        <v>122</v>
      </c>
      <c r="C487">
        <v>2025</v>
      </c>
      <c r="D487" s="4">
        <v>680.23</v>
      </c>
      <c r="E487" s="26">
        <v>45824</v>
      </c>
      <c r="F487" s="5" t="str" cm="1">
        <f t="array" ref="F487">_xlfn.IFS(D487 &gt;=5000, "A Kunde", D487 &gt;= 10000, "B Kunde", TRUE, "C Kunde")</f>
        <v>C Kunde</v>
      </c>
    </row>
    <row r="488" spans="1:6" x14ac:dyDescent="0.3">
      <c r="A488" t="s">
        <v>121</v>
      </c>
      <c r="B488" t="s">
        <v>122</v>
      </c>
      <c r="C488">
        <v>2024</v>
      </c>
      <c r="D488" s="4">
        <v>10943.51</v>
      </c>
      <c r="E488" s="26">
        <v>45410</v>
      </c>
      <c r="F488" s="5" t="str" cm="1">
        <f t="array" ref="F488">_xlfn.IFS(D488 &gt;=5000, "A Kunde", D488 &gt;= 10000, "B Kunde", TRUE, "C Kunde")</f>
        <v>A Kunde</v>
      </c>
    </row>
    <row r="489" spans="1:6" x14ac:dyDescent="0.3">
      <c r="A489" t="s">
        <v>140</v>
      </c>
      <c r="B489" t="s">
        <v>128</v>
      </c>
      <c r="C489">
        <v>2025</v>
      </c>
      <c r="D489" s="4">
        <v>5483.39</v>
      </c>
      <c r="E489" s="26">
        <v>45668</v>
      </c>
      <c r="F489" s="5" t="str" cm="1">
        <f t="array" ref="F489">_xlfn.IFS(D489 &gt;=5000, "A Kunde", D489 &gt;= 10000, "B Kunde", TRUE, "C Kunde")</f>
        <v>A Kunde</v>
      </c>
    </row>
    <row r="490" spans="1:6" x14ac:dyDescent="0.3">
      <c r="A490" t="s">
        <v>133</v>
      </c>
      <c r="B490" t="s">
        <v>128</v>
      </c>
      <c r="C490">
        <v>2023</v>
      </c>
      <c r="D490" s="4">
        <v>8550.31</v>
      </c>
      <c r="E490" s="26">
        <v>44993</v>
      </c>
      <c r="F490" s="5" t="str" cm="1">
        <f t="array" ref="F490">_xlfn.IFS(D490 &gt;=5000, "A Kunde", D490 &gt;= 10000, "B Kunde", TRUE, "C Kunde")</f>
        <v>A Kunde</v>
      </c>
    </row>
    <row r="491" spans="1:6" x14ac:dyDescent="0.3">
      <c r="A491" t="s">
        <v>151</v>
      </c>
      <c r="B491" t="s">
        <v>120</v>
      </c>
      <c r="C491">
        <v>2025</v>
      </c>
      <c r="D491" s="4">
        <v>5333.78</v>
      </c>
      <c r="E491" s="26">
        <v>45686</v>
      </c>
      <c r="F491" s="5" t="str" cm="1">
        <f t="array" ref="F491">_xlfn.IFS(D491 &gt;=5000, "A Kunde", D491 &gt;= 10000, "B Kunde", TRUE, "C Kunde")</f>
        <v>A Kunde</v>
      </c>
    </row>
    <row r="492" spans="1:6" x14ac:dyDescent="0.3">
      <c r="A492" t="s">
        <v>121</v>
      </c>
      <c r="B492" t="s">
        <v>122</v>
      </c>
      <c r="C492">
        <v>2023</v>
      </c>
      <c r="D492" s="4">
        <v>7506.55</v>
      </c>
      <c r="E492" s="26">
        <v>45208</v>
      </c>
      <c r="F492" s="5" t="str" cm="1">
        <f t="array" ref="F492">_xlfn.IFS(D492 &gt;=5000, "A Kunde", D492 &gt;= 10000, "B Kunde", TRUE, "C Kunde")</f>
        <v>A Kunde</v>
      </c>
    </row>
    <row r="493" spans="1:6" x14ac:dyDescent="0.3">
      <c r="A493" t="s">
        <v>155</v>
      </c>
      <c r="B493" t="s">
        <v>128</v>
      </c>
      <c r="C493">
        <v>2024</v>
      </c>
      <c r="D493" s="4">
        <v>9163.94</v>
      </c>
      <c r="E493" s="26">
        <v>45570</v>
      </c>
      <c r="F493" s="5" t="str" cm="1">
        <f t="array" ref="F493">_xlfn.IFS(D493 &gt;=5000, "A Kunde", D493 &gt;= 10000, "B Kunde", TRUE, "C Kunde")</f>
        <v>A Kunde</v>
      </c>
    </row>
    <row r="494" spans="1:6" x14ac:dyDescent="0.3">
      <c r="A494" t="s">
        <v>125</v>
      </c>
      <c r="B494" t="s">
        <v>122</v>
      </c>
      <c r="C494">
        <v>2023</v>
      </c>
      <c r="D494" s="4">
        <v>557.6</v>
      </c>
      <c r="E494" s="26">
        <v>45159</v>
      </c>
      <c r="F494" s="5" t="str" cm="1">
        <f t="array" ref="F494">_xlfn.IFS(D494 &gt;=5000, "A Kunde", D494 &gt;= 10000, "B Kunde", TRUE, "C Kunde")</f>
        <v>C Kunde</v>
      </c>
    </row>
    <row r="495" spans="1:6" x14ac:dyDescent="0.3">
      <c r="A495" t="s">
        <v>119</v>
      </c>
      <c r="B495" t="s">
        <v>120</v>
      </c>
      <c r="C495">
        <v>2025</v>
      </c>
      <c r="D495" s="4">
        <v>7344.88</v>
      </c>
      <c r="E495" s="26">
        <v>45949</v>
      </c>
      <c r="F495" s="5" t="str" cm="1">
        <f t="array" ref="F495">_xlfn.IFS(D495 &gt;=5000, "A Kunde", D495 &gt;= 10000, "B Kunde", TRUE, "C Kunde")</f>
        <v>A Kunde</v>
      </c>
    </row>
    <row r="496" spans="1:6" x14ac:dyDescent="0.3">
      <c r="A496" t="s">
        <v>123</v>
      </c>
      <c r="B496" t="s">
        <v>120</v>
      </c>
      <c r="C496">
        <v>2023</v>
      </c>
      <c r="D496" s="4">
        <v>3812.52</v>
      </c>
      <c r="E496" s="26">
        <v>45168</v>
      </c>
      <c r="F496" s="5" t="str" cm="1">
        <f t="array" ref="F496">_xlfn.IFS(D496 &gt;=5000, "A Kunde", D496 &gt;= 10000, "B Kunde", TRUE, "C Kunde")</f>
        <v>C Kunde</v>
      </c>
    </row>
    <row r="497" spans="1:6" x14ac:dyDescent="0.3">
      <c r="A497" t="s">
        <v>135</v>
      </c>
      <c r="B497" t="s">
        <v>116</v>
      </c>
      <c r="C497">
        <v>2025</v>
      </c>
      <c r="D497" s="4">
        <v>3161.07</v>
      </c>
      <c r="E497" s="26">
        <v>45840</v>
      </c>
      <c r="F497" s="5" t="str" cm="1">
        <f t="array" ref="F497">_xlfn.IFS(D497 &gt;=5000, "A Kunde", D497 &gt;= 10000, "B Kunde", TRUE, "C Kunde")</f>
        <v>C Kunde</v>
      </c>
    </row>
    <row r="498" spans="1:6" hidden="1" x14ac:dyDescent="0.3">
      <c r="A498" t="s">
        <v>156</v>
      </c>
      <c r="B498" t="s">
        <v>128</v>
      </c>
      <c r="C498">
        <v>2023</v>
      </c>
      <c r="D498" s="4">
        <v>6182.62</v>
      </c>
      <c r="E498" s="28" t="s">
        <v>157</v>
      </c>
      <c r="F498" s="5" t="str" cm="1">
        <f t="array" ref="F498">_xlfn.IFS(D498 &gt;=5000, "A Kunde", D498 &gt;= 10000, "B Kunde", TRUE, "C Kunde")</f>
        <v>A Kunde</v>
      </c>
    </row>
    <row r="499" spans="1:6" x14ac:dyDescent="0.3">
      <c r="A499" t="s">
        <v>156</v>
      </c>
      <c r="B499" t="s">
        <v>128</v>
      </c>
      <c r="C499">
        <v>2024</v>
      </c>
      <c r="D499" s="4">
        <v>1892.4</v>
      </c>
      <c r="E499" s="26">
        <v>45336</v>
      </c>
      <c r="F499" s="5" t="str" cm="1">
        <f t="array" ref="F499">_xlfn.IFS(D499 &gt;=5000, "A Kunde", D499 &gt;= 10000, "B Kunde", TRUE, "C Kunde")</f>
        <v>C Kunde</v>
      </c>
    </row>
    <row r="500" spans="1:6" x14ac:dyDescent="0.3">
      <c r="A500" t="s">
        <v>121</v>
      </c>
      <c r="B500" t="s">
        <v>122</v>
      </c>
      <c r="C500">
        <v>2025</v>
      </c>
      <c r="D500" s="4">
        <v>2582.66</v>
      </c>
      <c r="E500" s="26">
        <v>45852</v>
      </c>
      <c r="F500" s="5" t="str" cm="1">
        <f t="array" ref="F500">_xlfn.IFS(D500 &gt;=5000, "A Kunde", D500 &gt;= 10000, "B Kunde", TRUE, "C Kunde")</f>
        <v>C Kunde</v>
      </c>
    </row>
    <row r="501" spans="1:6" x14ac:dyDescent="0.3">
      <c r="A501" t="s">
        <v>151</v>
      </c>
      <c r="B501" t="s">
        <v>120</v>
      </c>
      <c r="C501">
        <v>2023</v>
      </c>
      <c r="D501" s="4">
        <v>11385.08</v>
      </c>
      <c r="E501" s="26">
        <v>45106</v>
      </c>
      <c r="F501" s="5" t="str" cm="1">
        <f t="array" ref="F501">_xlfn.IFS(D501 &gt;=5000, "A Kunde", D501 &gt;= 10000, "B Kunde", TRUE, "C Kunde")</f>
        <v>A Kunde</v>
      </c>
    </row>
    <row r="502" spans="1:6" x14ac:dyDescent="0.3">
      <c r="A502" t="s">
        <v>136</v>
      </c>
      <c r="B502" t="s">
        <v>120</v>
      </c>
      <c r="C502">
        <v>2024</v>
      </c>
      <c r="D502" s="4">
        <v>9991.66</v>
      </c>
      <c r="E502" s="26">
        <v>45638</v>
      </c>
      <c r="F502" s="5" t="str" cm="1">
        <f t="array" ref="F502">_xlfn.IFS(D502 &gt;=5000, "A Kunde", D502 &gt;= 10000, "B Kunde", TRUE, "C Kunde")</f>
        <v>A Kunde</v>
      </c>
    </row>
    <row r="503" spans="1:6" x14ac:dyDescent="0.3">
      <c r="A503" t="s">
        <v>123</v>
      </c>
      <c r="B503" t="s">
        <v>120</v>
      </c>
      <c r="C503">
        <v>2024</v>
      </c>
      <c r="D503" s="4">
        <v>12500.38</v>
      </c>
      <c r="E503" s="26">
        <v>45521</v>
      </c>
      <c r="F503" s="5" t="str" cm="1">
        <f t="array" ref="F503">_xlfn.IFS(D503 &gt;=5000, "A Kunde", D503 &gt;= 10000, "B Kunde", TRUE, "C Kunde")</f>
        <v>A Kunde</v>
      </c>
    </row>
    <row r="504" spans="1:6" x14ac:dyDescent="0.3">
      <c r="A504" t="s">
        <v>152</v>
      </c>
      <c r="B504" t="s">
        <v>116</v>
      </c>
      <c r="C504">
        <v>2023</v>
      </c>
      <c r="D504" s="4">
        <v>11153.01</v>
      </c>
      <c r="E504" s="26">
        <v>45283</v>
      </c>
      <c r="F504" s="5" t="str" cm="1">
        <f t="array" ref="F504">_xlfn.IFS(D504 &gt;=5000, "A Kunde", D504 &gt;= 10000, "B Kunde", TRUE, "C Kunde")</f>
        <v>A Kunde</v>
      </c>
    </row>
    <row r="505" spans="1:6" x14ac:dyDescent="0.3">
      <c r="A505" t="s">
        <v>132</v>
      </c>
      <c r="B505" t="s">
        <v>128</v>
      </c>
      <c r="C505">
        <v>2024</v>
      </c>
      <c r="D505" s="4">
        <v>1874.8</v>
      </c>
      <c r="E505" s="26">
        <v>45386</v>
      </c>
      <c r="F505" s="5"/>
    </row>
    <row r="506" spans="1:6" x14ac:dyDescent="0.3">
      <c r="A506" t="s">
        <v>118</v>
      </c>
      <c r="B506" t="s">
        <v>116</v>
      </c>
      <c r="C506">
        <v>2023</v>
      </c>
      <c r="D506" s="4">
        <v>3466.96</v>
      </c>
      <c r="E506" s="26">
        <v>45211</v>
      </c>
      <c r="F506" s="5"/>
    </row>
    <row r="507" spans="1:6" x14ac:dyDescent="0.3">
      <c r="A507" t="s">
        <v>156</v>
      </c>
      <c r="B507" t="s">
        <v>128</v>
      </c>
      <c r="C507">
        <v>2023</v>
      </c>
      <c r="D507" s="4">
        <v>5180.37</v>
      </c>
      <c r="E507" s="26">
        <v>44980</v>
      </c>
      <c r="F507" s="5"/>
    </row>
    <row r="508" spans="1:6" x14ac:dyDescent="0.3">
      <c r="A508" t="s">
        <v>133</v>
      </c>
      <c r="B508" t="s">
        <v>128</v>
      </c>
      <c r="C508">
        <v>2025</v>
      </c>
      <c r="D508" s="4">
        <v>6650.2</v>
      </c>
      <c r="E508" s="26">
        <v>45682</v>
      </c>
      <c r="F508" s="5"/>
    </row>
    <row r="509" spans="1:6" x14ac:dyDescent="0.3">
      <c r="A509" t="s">
        <v>123</v>
      </c>
      <c r="B509" t="s">
        <v>120</v>
      </c>
      <c r="C509">
        <v>2023</v>
      </c>
      <c r="D509" s="4">
        <v>8644.89</v>
      </c>
      <c r="E509" s="26">
        <v>45192</v>
      </c>
      <c r="F509" s="5"/>
    </row>
    <row r="510" spans="1:6" x14ac:dyDescent="0.3">
      <c r="A510" t="s">
        <v>158</v>
      </c>
      <c r="B510" t="s">
        <v>120</v>
      </c>
      <c r="C510">
        <v>2023</v>
      </c>
      <c r="D510" s="4">
        <v>4468.21</v>
      </c>
      <c r="E510" s="26">
        <v>45061</v>
      </c>
      <c r="F510" s="5"/>
    </row>
    <row r="511" spans="1:6" x14ac:dyDescent="0.3">
      <c r="A511" t="s">
        <v>126</v>
      </c>
      <c r="B511" t="s">
        <v>116</v>
      </c>
      <c r="C511">
        <v>2025</v>
      </c>
      <c r="D511" s="4">
        <v>5868.97</v>
      </c>
      <c r="E511" s="26">
        <v>46003</v>
      </c>
      <c r="F511" s="5"/>
    </row>
    <row r="512" spans="1:6" x14ac:dyDescent="0.3">
      <c r="A512" t="s">
        <v>148</v>
      </c>
      <c r="B512" t="s">
        <v>120</v>
      </c>
      <c r="C512">
        <v>2023</v>
      </c>
      <c r="D512" s="4">
        <v>1929.51</v>
      </c>
      <c r="E512" s="26">
        <v>45078</v>
      </c>
      <c r="F512" s="5"/>
    </row>
    <row r="513" spans="1:6" x14ac:dyDescent="0.3">
      <c r="A513" t="s">
        <v>136</v>
      </c>
      <c r="B513" t="s">
        <v>120</v>
      </c>
      <c r="C513">
        <v>2023</v>
      </c>
      <c r="D513" s="4">
        <v>6409.65</v>
      </c>
      <c r="E513" s="26">
        <v>45078</v>
      </c>
      <c r="F513" s="5"/>
    </row>
    <row r="514" spans="1:6" x14ac:dyDescent="0.3">
      <c r="A514" t="s">
        <v>141</v>
      </c>
      <c r="B514" t="s">
        <v>116</v>
      </c>
      <c r="C514">
        <v>2024</v>
      </c>
      <c r="D514" s="4">
        <v>1971.02</v>
      </c>
      <c r="E514" s="26">
        <v>45632</v>
      </c>
      <c r="F514" s="5"/>
    </row>
    <row r="515" spans="1:6" x14ac:dyDescent="0.3">
      <c r="A515" t="s">
        <v>123</v>
      </c>
      <c r="B515" t="s">
        <v>120</v>
      </c>
      <c r="C515">
        <v>2024</v>
      </c>
      <c r="D515" s="4">
        <v>10795.39</v>
      </c>
      <c r="E515" s="26">
        <v>45299</v>
      </c>
      <c r="F515" s="5"/>
    </row>
    <row r="516" spans="1:6" x14ac:dyDescent="0.3">
      <c r="A516" t="s">
        <v>137</v>
      </c>
      <c r="B516" t="s">
        <v>128</v>
      </c>
      <c r="C516">
        <v>2025</v>
      </c>
      <c r="D516" s="4">
        <v>7139.52</v>
      </c>
      <c r="E516" s="26">
        <v>45813</v>
      </c>
      <c r="F516" s="5"/>
    </row>
    <row r="517" spans="1:6" x14ac:dyDescent="0.3">
      <c r="A517" t="s">
        <v>115</v>
      </c>
      <c r="B517" t="s">
        <v>116</v>
      </c>
      <c r="C517">
        <v>2023</v>
      </c>
      <c r="D517" s="4">
        <v>7349.81</v>
      </c>
      <c r="E517" s="26">
        <v>45181</v>
      </c>
      <c r="F517" s="5"/>
    </row>
    <row r="518" spans="1:6" x14ac:dyDescent="0.3">
      <c r="A518" t="s">
        <v>149</v>
      </c>
      <c r="B518" t="s">
        <v>122</v>
      </c>
      <c r="C518">
        <v>2023</v>
      </c>
      <c r="D518" s="4">
        <v>2435.14</v>
      </c>
      <c r="E518" s="26">
        <v>45264</v>
      </c>
      <c r="F518" s="5"/>
    </row>
    <row r="519" spans="1:6" x14ac:dyDescent="0.3">
      <c r="A519" t="s">
        <v>147</v>
      </c>
      <c r="B519" t="s">
        <v>120</v>
      </c>
      <c r="C519">
        <v>2024</v>
      </c>
      <c r="D519" s="4">
        <v>13275.27</v>
      </c>
      <c r="E519" s="26">
        <v>45635</v>
      </c>
      <c r="F519" s="5"/>
    </row>
    <row r="520" spans="1:6" x14ac:dyDescent="0.3">
      <c r="A520" t="s">
        <v>141</v>
      </c>
      <c r="B520" t="s">
        <v>116</v>
      </c>
      <c r="C520">
        <v>2024</v>
      </c>
      <c r="D520" s="4">
        <v>11873.89</v>
      </c>
      <c r="E520" s="26">
        <v>45508</v>
      </c>
      <c r="F520" s="5"/>
    </row>
    <row r="521" spans="1:6" x14ac:dyDescent="0.3">
      <c r="A521" t="s">
        <v>135</v>
      </c>
      <c r="B521" t="s">
        <v>116</v>
      </c>
      <c r="C521">
        <v>2024</v>
      </c>
      <c r="D521" s="4">
        <v>8963.7900000000009</v>
      </c>
      <c r="E521" s="26">
        <v>45329</v>
      </c>
      <c r="F521" s="5"/>
    </row>
    <row r="522" spans="1:6" x14ac:dyDescent="0.3">
      <c r="A522" t="s">
        <v>123</v>
      </c>
      <c r="B522" t="s">
        <v>120</v>
      </c>
      <c r="C522">
        <v>2024</v>
      </c>
      <c r="D522" s="4">
        <v>1927.35</v>
      </c>
      <c r="E522" s="26">
        <v>45489</v>
      </c>
      <c r="F522" s="5"/>
    </row>
    <row r="523" spans="1:6" x14ac:dyDescent="0.3">
      <c r="A523" t="s">
        <v>149</v>
      </c>
      <c r="B523" t="s">
        <v>122</v>
      </c>
      <c r="C523">
        <v>2025</v>
      </c>
      <c r="D523" s="4">
        <v>1489.31</v>
      </c>
      <c r="E523" s="26">
        <v>46019</v>
      </c>
      <c r="F523" s="5"/>
    </row>
    <row r="524" spans="1:6" x14ac:dyDescent="0.3">
      <c r="A524" t="s">
        <v>152</v>
      </c>
      <c r="B524" t="s">
        <v>116</v>
      </c>
      <c r="C524">
        <v>2023</v>
      </c>
      <c r="D524" s="4">
        <v>2562.5700000000002</v>
      </c>
      <c r="E524" s="26">
        <v>45242</v>
      </c>
      <c r="F524" s="5"/>
    </row>
    <row r="525" spans="1:6" x14ac:dyDescent="0.3">
      <c r="A525" t="s">
        <v>153</v>
      </c>
      <c r="B525" t="s">
        <v>122</v>
      </c>
      <c r="C525">
        <v>2024</v>
      </c>
      <c r="D525" s="4">
        <v>11826.91</v>
      </c>
      <c r="E525" s="26">
        <v>45618</v>
      </c>
      <c r="F525" s="5"/>
    </row>
    <row r="526" spans="1:6" x14ac:dyDescent="0.3">
      <c r="A526" t="s">
        <v>133</v>
      </c>
      <c r="B526" t="s">
        <v>128</v>
      </c>
      <c r="C526">
        <v>2023</v>
      </c>
      <c r="D526" s="4">
        <v>11588.26</v>
      </c>
      <c r="E526" s="26">
        <v>45011</v>
      </c>
      <c r="F526" s="5"/>
    </row>
    <row r="527" spans="1:6" x14ac:dyDescent="0.3">
      <c r="A527" t="s">
        <v>159</v>
      </c>
      <c r="B527" t="s">
        <v>116</v>
      </c>
      <c r="C527">
        <v>2023</v>
      </c>
      <c r="D527" s="4">
        <v>827.37</v>
      </c>
      <c r="E527" s="26">
        <v>45093</v>
      </c>
      <c r="F527" s="5"/>
    </row>
    <row r="528" spans="1:6" x14ac:dyDescent="0.3">
      <c r="A528" t="s">
        <v>133</v>
      </c>
      <c r="B528" t="s">
        <v>128</v>
      </c>
      <c r="C528">
        <v>2024</v>
      </c>
      <c r="D528" s="4">
        <v>9185.59</v>
      </c>
      <c r="E528" s="26">
        <v>45469</v>
      </c>
      <c r="F528" s="5"/>
    </row>
    <row r="529" spans="1:6" x14ac:dyDescent="0.3">
      <c r="A529" t="s">
        <v>133</v>
      </c>
      <c r="B529" t="s">
        <v>128</v>
      </c>
      <c r="C529">
        <v>2025</v>
      </c>
      <c r="D529" s="4">
        <v>8729.9</v>
      </c>
      <c r="E529" s="26">
        <v>45780</v>
      </c>
      <c r="F529" s="5"/>
    </row>
    <row r="530" spans="1:6" x14ac:dyDescent="0.3">
      <c r="A530" t="s">
        <v>159</v>
      </c>
      <c r="B530" t="s">
        <v>116</v>
      </c>
      <c r="C530">
        <v>2025</v>
      </c>
      <c r="D530" s="4">
        <v>12468.16</v>
      </c>
      <c r="E530" s="26">
        <v>45946</v>
      </c>
      <c r="F530" s="5"/>
    </row>
    <row r="531" spans="1:6" x14ac:dyDescent="0.3">
      <c r="A531" t="s">
        <v>124</v>
      </c>
      <c r="B531" t="s">
        <v>120</v>
      </c>
      <c r="C531">
        <v>2024</v>
      </c>
      <c r="D531" s="4">
        <v>9058.32</v>
      </c>
      <c r="E531" s="26">
        <v>45520</v>
      </c>
      <c r="F531" s="5"/>
    </row>
    <row r="532" spans="1:6" x14ac:dyDescent="0.3">
      <c r="A532" t="s">
        <v>149</v>
      </c>
      <c r="B532" t="s">
        <v>122</v>
      </c>
      <c r="C532">
        <v>2025</v>
      </c>
      <c r="D532" s="4">
        <v>3579.32</v>
      </c>
      <c r="E532" s="26">
        <v>45916</v>
      </c>
      <c r="F532" s="5"/>
    </row>
    <row r="533" spans="1:6" x14ac:dyDescent="0.3">
      <c r="A533" t="s">
        <v>155</v>
      </c>
      <c r="B533" t="s">
        <v>128</v>
      </c>
      <c r="C533">
        <v>2024</v>
      </c>
      <c r="D533" s="4">
        <v>6458.91</v>
      </c>
      <c r="E533" s="26">
        <v>45536</v>
      </c>
      <c r="F533" s="5"/>
    </row>
    <row r="534" spans="1:6" x14ac:dyDescent="0.3">
      <c r="A534" t="s">
        <v>115</v>
      </c>
      <c r="B534" t="s">
        <v>116</v>
      </c>
      <c r="C534">
        <v>2023</v>
      </c>
      <c r="D534" s="4">
        <v>6266.56</v>
      </c>
      <c r="E534" s="26">
        <v>45250</v>
      </c>
      <c r="F534" s="5"/>
    </row>
    <row r="535" spans="1:6" x14ac:dyDescent="0.3">
      <c r="A535" t="s">
        <v>126</v>
      </c>
      <c r="B535" t="s">
        <v>116</v>
      </c>
      <c r="C535">
        <v>2025</v>
      </c>
      <c r="D535" s="4">
        <v>3015.52</v>
      </c>
      <c r="E535" s="26">
        <v>45878</v>
      </c>
      <c r="F535" s="5"/>
    </row>
    <row r="536" spans="1:6" x14ac:dyDescent="0.3">
      <c r="A536" t="s">
        <v>143</v>
      </c>
      <c r="B536" t="s">
        <v>122</v>
      </c>
      <c r="C536">
        <v>2023</v>
      </c>
      <c r="D536" s="4">
        <v>4513.6400000000003</v>
      </c>
      <c r="E536" s="26">
        <v>45221</v>
      </c>
      <c r="F536" s="5"/>
    </row>
    <row r="537" spans="1:6" x14ac:dyDescent="0.3">
      <c r="A537" t="s">
        <v>136</v>
      </c>
      <c r="B537" t="s">
        <v>120</v>
      </c>
      <c r="C537">
        <v>2024</v>
      </c>
      <c r="D537" s="4">
        <v>13660.16</v>
      </c>
      <c r="E537" s="26">
        <v>45634</v>
      </c>
      <c r="F537" s="5"/>
    </row>
    <row r="538" spans="1:6" x14ac:dyDescent="0.3">
      <c r="A538" t="s">
        <v>137</v>
      </c>
      <c r="B538" t="s">
        <v>128</v>
      </c>
      <c r="C538">
        <v>2025</v>
      </c>
      <c r="D538" s="4">
        <v>7306.73</v>
      </c>
      <c r="E538" s="26">
        <v>45685</v>
      </c>
      <c r="F538" s="5"/>
    </row>
    <row r="539" spans="1:6" x14ac:dyDescent="0.3">
      <c r="A539" t="s">
        <v>142</v>
      </c>
      <c r="B539" t="s">
        <v>120</v>
      </c>
      <c r="C539">
        <v>2024</v>
      </c>
      <c r="D539" s="4">
        <v>3535.98</v>
      </c>
      <c r="E539" s="26">
        <v>45580</v>
      </c>
      <c r="F539" s="5"/>
    </row>
    <row r="540" spans="1:6" x14ac:dyDescent="0.3">
      <c r="A540" t="s">
        <v>145</v>
      </c>
      <c r="B540" t="s">
        <v>120</v>
      </c>
      <c r="C540">
        <v>2024</v>
      </c>
      <c r="D540" s="4">
        <v>6404.42</v>
      </c>
      <c r="E540" s="26">
        <v>45474</v>
      </c>
      <c r="F540" s="5"/>
    </row>
    <row r="541" spans="1:6" x14ac:dyDescent="0.3">
      <c r="A541" t="s">
        <v>146</v>
      </c>
      <c r="B541" t="s">
        <v>128</v>
      </c>
      <c r="C541">
        <v>2023</v>
      </c>
      <c r="D541" s="4">
        <v>898.35</v>
      </c>
      <c r="E541" s="26">
        <v>45125</v>
      </c>
      <c r="F541" s="5"/>
    </row>
    <row r="542" spans="1:6" x14ac:dyDescent="0.3">
      <c r="A542" t="s">
        <v>127</v>
      </c>
      <c r="B542" t="s">
        <v>128</v>
      </c>
      <c r="C542">
        <v>2025</v>
      </c>
      <c r="D542" s="4">
        <v>3626.13</v>
      </c>
      <c r="E542" s="26">
        <v>45783</v>
      </c>
      <c r="F542" s="5"/>
    </row>
    <row r="543" spans="1:6" x14ac:dyDescent="0.3">
      <c r="A543" t="s">
        <v>152</v>
      </c>
      <c r="B543" t="s">
        <v>116</v>
      </c>
      <c r="C543">
        <v>2024</v>
      </c>
      <c r="D543" s="4">
        <v>13085.77</v>
      </c>
      <c r="E543" s="26">
        <v>45597</v>
      </c>
      <c r="F543" s="5"/>
    </row>
    <row r="544" spans="1:6" x14ac:dyDescent="0.3">
      <c r="A544" t="s">
        <v>136</v>
      </c>
      <c r="B544" t="s">
        <v>120</v>
      </c>
      <c r="C544">
        <v>2024</v>
      </c>
      <c r="D544" s="4">
        <v>10731.07</v>
      </c>
      <c r="E544" s="26">
        <v>45315</v>
      </c>
      <c r="F544" s="5"/>
    </row>
    <row r="545" spans="1:6" x14ac:dyDescent="0.3">
      <c r="A545" t="s">
        <v>156</v>
      </c>
      <c r="B545" t="s">
        <v>128</v>
      </c>
      <c r="C545">
        <v>2025</v>
      </c>
      <c r="D545" s="4">
        <v>6642.05</v>
      </c>
      <c r="E545" s="26">
        <v>45981</v>
      </c>
      <c r="F545" s="5"/>
    </row>
    <row r="546" spans="1:6" x14ac:dyDescent="0.3">
      <c r="A546" t="s">
        <v>149</v>
      </c>
      <c r="B546" t="s">
        <v>122</v>
      </c>
      <c r="C546">
        <v>2025</v>
      </c>
      <c r="D546" s="4">
        <v>519.83000000000004</v>
      </c>
      <c r="E546" s="26">
        <v>45945</v>
      </c>
      <c r="F546" s="5"/>
    </row>
    <row r="547" spans="1:6" x14ac:dyDescent="0.3">
      <c r="A547" t="s">
        <v>155</v>
      </c>
      <c r="B547" t="s">
        <v>128</v>
      </c>
      <c r="C547">
        <v>2025</v>
      </c>
      <c r="D547" s="4">
        <v>6509.78</v>
      </c>
      <c r="E547" s="26">
        <v>45962</v>
      </c>
      <c r="F547" s="5"/>
    </row>
    <row r="548" spans="1:6" x14ac:dyDescent="0.3">
      <c r="A548" t="s">
        <v>125</v>
      </c>
      <c r="B548" t="s">
        <v>122</v>
      </c>
      <c r="C548">
        <v>2024</v>
      </c>
      <c r="D548" s="4">
        <v>8250.15</v>
      </c>
      <c r="E548" s="26">
        <v>45367</v>
      </c>
      <c r="F548" s="5"/>
    </row>
    <row r="549" spans="1:6" x14ac:dyDescent="0.3">
      <c r="A549" t="s">
        <v>115</v>
      </c>
      <c r="B549" t="s">
        <v>116</v>
      </c>
      <c r="C549">
        <v>2023</v>
      </c>
      <c r="D549" s="4">
        <v>4082.72</v>
      </c>
      <c r="E549" s="26">
        <v>45030</v>
      </c>
      <c r="F549" s="5"/>
    </row>
    <row r="550" spans="1:6" x14ac:dyDescent="0.3">
      <c r="A550" t="s">
        <v>143</v>
      </c>
      <c r="B550" t="s">
        <v>122</v>
      </c>
      <c r="C550">
        <v>2025</v>
      </c>
      <c r="D550" s="4">
        <v>4143.33</v>
      </c>
      <c r="E550" s="26">
        <v>45890</v>
      </c>
      <c r="F550" s="5"/>
    </row>
    <row r="551" spans="1:6" x14ac:dyDescent="0.3">
      <c r="A551" t="s">
        <v>150</v>
      </c>
      <c r="B551" t="s">
        <v>116</v>
      </c>
      <c r="C551">
        <v>2023</v>
      </c>
      <c r="D551" s="4">
        <v>6146.8</v>
      </c>
      <c r="E551" s="26">
        <v>45147</v>
      </c>
      <c r="F551" s="5"/>
    </row>
    <row r="552" spans="1:6" x14ac:dyDescent="0.3">
      <c r="A552" t="s">
        <v>135</v>
      </c>
      <c r="B552" t="s">
        <v>116</v>
      </c>
      <c r="C552">
        <v>2025</v>
      </c>
      <c r="D552" s="4">
        <v>10741.22</v>
      </c>
      <c r="E552" s="26">
        <v>45676</v>
      </c>
      <c r="F552" s="5"/>
    </row>
    <row r="553" spans="1:6" x14ac:dyDescent="0.3">
      <c r="A553" t="s">
        <v>140</v>
      </c>
      <c r="B553" t="s">
        <v>128</v>
      </c>
      <c r="C553">
        <v>2023</v>
      </c>
      <c r="D553" s="4">
        <v>5728.03</v>
      </c>
      <c r="E553" s="26">
        <v>45019</v>
      </c>
      <c r="F553" s="5"/>
    </row>
    <row r="554" spans="1:6" x14ac:dyDescent="0.3">
      <c r="A554" t="s">
        <v>133</v>
      </c>
      <c r="B554" t="s">
        <v>128</v>
      </c>
      <c r="C554">
        <v>2024</v>
      </c>
      <c r="D554" s="4">
        <v>5202.83</v>
      </c>
      <c r="E554" s="26">
        <v>45325</v>
      </c>
      <c r="F554" s="5"/>
    </row>
    <row r="555" spans="1:6" x14ac:dyDescent="0.3">
      <c r="A555" t="s">
        <v>130</v>
      </c>
      <c r="B555" t="s">
        <v>116</v>
      </c>
      <c r="C555">
        <v>2023</v>
      </c>
      <c r="D555" s="4">
        <v>5531.61</v>
      </c>
      <c r="E555" s="26">
        <v>45077</v>
      </c>
      <c r="F555" s="5"/>
    </row>
    <row r="556" spans="1:6" x14ac:dyDescent="0.3">
      <c r="A556" t="s">
        <v>151</v>
      </c>
      <c r="B556" t="s">
        <v>120</v>
      </c>
      <c r="C556">
        <v>2024</v>
      </c>
      <c r="D556" s="4">
        <v>11589.3</v>
      </c>
      <c r="E556" s="26">
        <v>45499</v>
      </c>
      <c r="F556" s="5"/>
    </row>
    <row r="557" spans="1:6" x14ac:dyDescent="0.3">
      <c r="A557" t="s">
        <v>153</v>
      </c>
      <c r="B557" t="s">
        <v>122</v>
      </c>
      <c r="C557">
        <v>2023</v>
      </c>
      <c r="D557" s="4">
        <v>1975.55</v>
      </c>
      <c r="E557" s="26">
        <v>45170</v>
      </c>
      <c r="F557" s="5"/>
    </row>
    <row r="558" spans="1:6" x14ac:dyDescent="0.3">
      <c r="A558" t="s">
        <v>142</v>
      </c>
      <c r="B558" t="s">
        <v>120</v>
      </c>
      <c r="C558">
        <v>2025</v>
      </c>
      <c r="D558" s="4">
        <v>5350.14</v>
      </c>
      <c r="E558" s="26">
        <v>45733</v>
      </c>
      <c r="F558" s="5"/>
    </row>
    <row r="559" spans="1:6" x14ac:dyDescent="0.3">
      <c r="A559" t="s">
        <v>117</v>
      </c>
      <c r="B559" t="s">
        <v>116</v>
      </c>
      <c r="C559">
        <v>2025</v>
      </c>
      <c r="D559" s="4">
        <v>10618.52</v>
      </c>
      <c r="E559" s="26">
        <v>45675</v>
      </c>
      <c r="F559" s="5"/>
    </row>
    <row r="560" spans="1:6" x14ac:dyDescent="0.3">
      <c r="A560" t="s">
        <v>118</v>
      </c>
      <c r="B560" t="s">
        <v>116</v>
      </c>
      <c r="C560">
        <v>2025</v>
      </c>
      <c r="D560" s="4">
        <v>5739.14</v>
      </c>
      <c r="E560" s="26">
        <v>45969</v>
      </c>
      <c r="F560" s="5"/>
    </row>
    <row r="561" spans="1:6" x14ac:dyDescent="0.3">
      <c r="A561" t="s">
        <v>134</v>
      </c>
      <c r="B561" t="s">
        <v>120</v>
      </c>
      <c r="C561">
        <v>2023</v>
      </c>
      <c r="D561" s="4">
        <v>737.01</v>
      </c>
      <c r="E561" s="26">
        <v>45019</v>
      </c>
      <c r="F561" s="5"/>
    </row>
    <row r="562" spans="1:6" x14ac:dyDescent="0.3">
      <c r="A562" t="s">
        <v>117</v>
      </c>
      <c r="B562" t="s">
        <v>116</v>
      </c>
      <c r="C562">
        <v>2025</v>
      </c>
      <c r="D562" s="4">
        <v>7366.79</v>
      </c>
      <c r="E562" s="26">
        <v>45897</v>
      </c>
      <c r="F562" s="5"/>
    </row>
    <row r="563" spans="1:6" x14ac:dyDescent="0.3">
      <c r="A563" t="s">
        <v>146</v>
      </c>
      <c r="B563" t="s">
        <v>128</v>
      </c>
      <c r="C563">
        <v>2025</v>
      </c>
      <c r="D563" s="4">
        <v>2128.98</v>
      </c>
      <c r="E563" s="26">
        <v>45982</v>
      </c>
      <c r="F563" s="5"/>
    </row>
    <row r="564" spans="1:6" x14ac:dyDescent="0.3">
      <c r="A564" t="s">
        <v>153</v>
      </c>
      <c r="B564" t="s">
        <v>122</v>
      </c>
      <c r="C564">
        <v>2024</v>
      </c>
      <c r="D564" s="4">
        <v>2442.5300000000002</v>
      </c>
      <c r="E564" s="26">
        <v>45579</v>
      </c>
      <c r="F564" s="5"/>
    </row>
    <row r="565" spans="1:6" x14ac:dyDescent="0.3">
      <c r="A565" t="s">
        <v>153</v>
      </c>
      <c r="B565" t="s">
        <v>122</v>
      </c>
      <c r="C565">
        <v>2024</v>
      </c>
      <c r="D565" s="4">
        <v>8393.4</v>
      </c>
      <c r="E565" s="26">
        <v>45539</v>
      </c>
      <c r="F565" s="5"/>
    </row>
    <row r="566" spans="1:6" x14ac:dyDescent="0.3">
      <c r="A566" t="s">
        <v>132</v>
      </c>
      <c r="B566" t="s">
        <v>128</v>
      </c>
      <c r="C566">
        <v>2025</v>
      </c>
      <c r="D566" s="4">
        <v>7546.29</v>
      </c>
      <c r="E566" s="26">
        <v>45970</v>
      </c>
      <c r="F566" s="5"/>
    </row>
    <row r="567" spans="1:6" x14ac:dyDescent="0.3">
      <c r="A567" t="s">
        <v>133</v>
      </c>
      <c r="B567" t="s">
        <v>128</v>
      </c>
      <c r="C567">
        <v>2024</v>
      </c>
      <c r="D567" s="4">
        <v>6753.52</v>
      </c>
      <c r="E567" s="26">
        <v>45540</v>
      </c>
      <c r="F567" s="5"/>
    </row>
    <row r="568" spans="1:6" x14ac:dyDescent="0.3">
      <c r="A568" t="s">
        <v>159</v>
      </c>
      <c r="B568" t="s">
        <v>116</v>
      </c>
      <c r="C568">
        <v>2025</v>
      </c>
      <c r="D568" s="4">
        <v>4771.1099999999997</v>
      </c>
      <c r="E568" s="26">
        <v>45681</v>
      </c>
      <c r="F568" s="5"/>
    </row>
    <row r="569" spans="1:6" x14ac:dyDescent="0.3">
      <c r="A569" t="s">
        <v>145</v>
      </c>
      <c r="B569" t="s">
        <v>120</v>
      </c>
      <c r="C569">
        <v>2025</v>
      </c>
      <c r="D569" s="4">
        <v>8255.09</v>
      </c>
      <c r="E569" s="26">
        <v>45780</v>
      </c>
      <c r="F569" s="5"/>
    </row>
    <row r="570" spans="1:6" x14ac:dyDescent="0.3">
      <c r="A570" t="s">
        <v>159</v>
      </c>
      <c r="B570" t="s">
        <v>116</v>
      </c>
      <c r="C570">
        <v>2025</v>
      </c>
      <c r="D570" s="4">
        <v>3864.32</v>
      </c>
      <c r="E570" s="26">
        <v>45898</v>
      </c>
      <c r="F570" s="5"/>
    </row>
    <row r="571" spans="1:6" x14ac:dyDescent="0.3">
      <c r="A571" t="s">
        <v>131</v>
      </c>
      <c r="B571" t="s">
        <v>122</v>
      </c>
      <c r="C571">
        <v>2024</v>
      </c>
      <c r="D571" s="4">
        <v>10155.32</v>
      </c>
      <c r="E571" s="26">
        <v>45393</v>
      </c>
      <c r="F571" s="5"/>
    </row>
    <row r="572" spans="1:6" x14ac:dyDescent="0.3">
      <c r="A572" t="s">
        <v>131</v>
      </c>
      <c r="B572" t="s">
        <v>122</v>
      </c>
      <c r="C572">
        <v>2025</v>
      </c>
      <c r="D572" s="4">
        <v>2553.0700000000002</v>
      </c>
      <c r="E572" s="26">
        <v>45910</v>
      </c>
      <c r="F572" s="5"/>
    </row>
    <row r="573" spans="1:6" x14ac:dyDescent="0.3">
      <c r="A573" t="s">
        <v>153</v>
      </c>
      <c r="B573" t="s">
        <v>122</v>
      </c>
      <c r="C573">
        <v>2025</v>
      </c>
      <c r="D573" s="4">
        <v>2239.3000000000002</v>
      </c>
      <c r="E573" s="26">
        <v>45705</v>
      </c>
      <c r="F573" s="5"/>
    </row>
    <row r="574" spans="1:6" x14ac:dyDescent="0.3">
      <c r="A574" t="s">
        <v>125</v>
      </c>
      <c r="B574" t="s">
        <v>122</v>
      </c>
      <c r="C574">
        <v>2023</v>
      </c>
      <c r="D574" s="4">
        <v>8101.47</v>
      </c>
      <c r="E574" s="26">
        <v>44991</v>
      </c>
      <c r="F574" s="5"/>
    </row>
    <row r="575" spans="1:6" x14ac:dyDescent="0.3">
      <c r="A575" t="s">
        <v>145</v>
      </c>
      <c r="B575" t="s">
        <v>120</v>
      </c>
      <c r="C575">
        <v>2024</v>
      </c>
      <c r="D575" s="4">
        <v>461.34</v>
      </c>
      <c r="E575" s="26">
        <v>45317</v>
      </c>
      <c r="F575" s="5"/>
    </row>
    <row r="576" spans="1:6" x14ac:dyDescent="0.3">
      <c r="A576" t="s">
        <v>136</v>
      </c>
      <c r="B576" t="s">
        <v>120</v>
      </c>
      <c r="C576">
        <v>2025</v>
      </c>
      <c r="D576" s="4">
        <v>2289.75</v>
      </c>
      <c r="E576" s="26">
        <v>45784</v>
      </c>
      <c r="F576" s="5"/>
    </row>
    <row r="577" spans="1:6" x14ac:dyDescent="0.3">
      <c r="A577" t="s">
        <v>138</v>
      </c>
      <c r="B577" t="s">
        <v>122</v>
      </c>
      <c r="C577">
        <v>2025</v>
      </c>
      <c r="D577" s="4">
        <v>7125.11</v>
      </c>
      <c r="E577" s="26">
        <v>45767</v>
      </c>
      <c r="F577" s="5"/>
    </row>
    <row r="578" spans="1:6" x14ac:dyDescent="0.3">
      <c r="A578" t="s">
        <v>153</v>
      </c>
      <c r="B578" t="s">
        <v>122</v>
      </c>
      <c r="C578">
        <v>2025</v>
      </c>
      <c r="D578" s="4">
        <v>12244.88</v>
      </c>
      <c r="E578" s="26">
        <v>45892</v>
      </c>
      <c r="F578" s="5"/>
    </row>
    <row r="579" spans="1:6" x14ac:dyDescent="0.3">
      <c r="A579" t="s">
        <v>115</v>
      </c>
      <c r="B579" t="s">
        <v>116</v>
      </c>
      <c r="C579">
        <v>2023</v>
      </c>
      <c r="D579" s="4">
        <v>7357.83</v>
      </c>
      <c r="E579" s="26">
        <v>45209</v>
      </c>
      <c r="F579" s="5"/>
    </row>
    <row r="580" spans="1:6" x14ac:dyDescent="0.3">
      <c r="A580" t="s">
        <v>123</v>
      </c>
      <c r="B580" t="s">
        <v>120</v>
      </c>
      <c r="C580">
        <v>2024</v>
      </c>
      <c r="D580" s="4">
        <v>13974.1</v>
      </c>
      <c r="E580" s="26">
        <v>45592</v>
      </c>
      <c r="F580" s="5"/>
    </row>
    <row r="581" spans="1:6" x14ac:dyDescent="0.3">
      <c r="A581" t="s">
        <v>126</v>
      </c>
      <c r="B581" t="s">
        <v>116</v>
      </c>
      <c r="C581">
        <v>2025</v>
      </c>
      <c r="D581" s="4">
        <v>5400.18</v>
      </c>
      <c r="E581" s="26">
        <v>46003</v>
      </c>
      <c r="F581" s="5"/>
    </row>
    <row r="582" spans="1:6" x14ac:dyDescent="0.3">
      <c r="A582" t="s">
        <v>119</v>
      </c>
      <c r="B582" t="s">
        <v>120</v>
      </c>
      <c r="C582">
        <v>2025</v>
      </c>
      <c r="D582" s="4">
        <v>12787.31</v>
      </c>
      <c r="E582" s="26">
        <v>45868</v>
      </c>
      <c r="F582" s="5"/>
    </row>
    <row r="583" spans="1:6" x14ac:dyDescent="0.3">
      <c r="A583" t="s">
        <v>117</v>
      </c>
      <c r="B583" t="s">
        <v>116</v>
      </c>
      <c r="C583">
        <v>2024</v>
      </c>
      <c r="D583" s="4">
        <v>9526.99</v>
      </c>
      <c r="E583" s="26">
        <v>45652</v>
      </c>
      <c r="F583" s="5"/>
    </row>
    <row r="584" spans="1:6" x14ac:dyDescent="0.3">
      <c r="A584" t="s">
        <v>135</v>
      </c>
      <c r="B584" t="s">
        <v>116</v>
      </c>
      <c r="C584">
        <v>2025</v>
      </c>
      <c r="D584" s="4">
        <v>2853.25</v>
      </c>
      <c r="E584" s="26">
        <v>45918</v>
      </c>
      <c r="F584" s="5"/>
    </row>
    <row r="585" spans="1:6" x14ac:dyDescent="0.3">
      <c r="A585" t="s">
        <v>125</v>
      </c>
      <c r="B585" t="s">
        <v>122</v>
      </c>
      <c r="C585">
        <v>2024</v>
      </c>
      <c r="D585" s="4">
        <v>7901.6</v>
      </c>
      <c r="E585" s="26">
        <v>45498</v>
      </c>
      <c r="F585" s="5"/>
    </row>
    <row r="586" spans="1:6" x14ac:dyDescent="0.3">
      <c r="A586" t="s">
        <v>147</v>
      </c>
      <c r="B586" t="s">
        <v>120</v>
      </c>
      <c r="C586">
        <v>2024</v>
      </c>
      <c r="D586" s="4">
        <v>10842.2</v>
      </c>
      <c r="E586" s="26">
        <v>45536</v>
      </c>
      <c r="F586" s="5"/>
    </row>
    <row r="587" spans="1:6" x14ac:dyDescent="0.3">
      <c r="A587" t="s">
        <v>138</v>
      </c>
      <c r="B587" t="s">
        <v>122</v>
      </c>
      <c r="C587">
        <v>2025</v>
      </c>
      <c r="D587" s="4">
        <v>4575.16</v>
      </c>
      <c r="E587" s="26">
        <v>45928</v>
      </c>
      <c r="F587" s="5"/>
    </row>
    <row r="588" spans="1:6" x14ac:dyDescent="0.3">
      <c r="A588" t="s">
        <v>139</v>
      </c>
      <c r="B588" t="s">
        <v>120</v>
      </c>
      <c r="C588">
        <v>2024</v>
      </c>
      <c r="D588" s="4">
        <v>4171.49</v>
      </c>
      <c r="E588" s="26">
        <v>45487</v>
      </c>
      <c r="F588" s="5"/>
    </row>
    <row r="589" spans="1:6" x14ac:dyDescent="0.3">
      <c r="A589" t="s">
        <v>133</v>
      </c>
      <c r="B589" t="s">
        <v>128</v>
      </c>
      <c r="C589">
        <v>2025</v>
      </c>
      <c r="D589" s="4">
        <v>12561.49</v>
      </c>
      <c r="E589" s="26">
        <v>45704</v>
      </c>
      <c r="F589" s="5"/>
    </row>
    <row r="590" spans="1:6" x14ac:dyDescent="0.3">
      <c r="A590" t="s">
        <v>155</v>
      </c>
      <c r="B590" t="s">
        <v>128</v>
      </c>
      <c r="C590">
        <v>2024</v>
      </c>
      <c r="D590" s="4">
        <v>13373.6</v>
      </c>
      <c r="E590" s="26">
        <v>45633</v>
      </c>
      <c r="F590" s="5"/>
    </row>
    <row r="591" spans="1:6" x14ac:dyDescent="0.3">
      <c r="A591" t="s">
        <v>146</v>
      </c>
      <c r="B591" t="s">
        <v>128</v>
      </c>
      <c r="C591">
        <v>2024</v>
      </c>
      <c r="D591" s="4">
        <v>780.52</v>
      </c>
      <c r="E591" s="26">
        <v>45521</v>
      </c>
      <c r="F591" s="5"/>
    </row>
    <row r="592" spans="1:6" x14ac:dyDescent="0.3">
      <c r="A592" t="s">
        <v>158</v>
      </c>
      <c r="B592" t="s">
        <v>120</v>
      </c>
      <c r="C592">
        <v>2024</v>
      </c>
      <c r="D592" s="4">
        <v>12951.33</v>
      </c>
      <c r="E592" s="26">
        <v>45636</v>
      </c>
      <c r="F592" s="5"/>
    </row>
    <row r="593" spans="1:6" x14ac:dyDescent="0.3">
      <c r="A593" t="s">
        <v>135</v>
      </c>
      <c r="B593" t="s">
        <v>116</v>
      </c>
      <c r="C593">
        <v>2025</v>
      </c>
      <c r="D593" s="4">
        <v>3153.02</v>
      </c>
      <c r="E593" s="26">
        <v>45908</v>
      </c>
      <c r="F593" s="5"/>
    </row>
    <row r="594" spans="1:6" x14ac:dyDescent="0.3">
      <c r="A594" t="s">
        <v>124</v>
      </c>
      <c r="B594" t="s">
        <v>120</v>
      </c>
      <c r="C594">
        <v>2024</v>
      </c>
      <c r="D594" s="4">
        <v>13075.73</v>
      </c>
      <c r="E594" s="26">
        <v>45482</v>
      </c>
      <c r="F594" s="5"/>
    </row>
    <row r="595" spans="1:6" x14ac:dyDescent="0.3">
      <c r="A595" t="s">
        <v>154</v>
      </c>
      <c r="B595" t="s">
        <v>128</v>
      </c>
      <c r="C595">
        <v>2023</v>
      </c>
      <c r="D595" s="4">
        <v>1707.33</v>
      </c>
      <c r="E595" s="26">
        <v>45208</v>
      </c>
      <c r="F595" s="5"/>
    </row>
    <row r="596" spans="1:6" x14ac:dyDescent="0.3">
      <c r="A596" t="s">
        <v>131</v>
      </c>
      <c r="B596" t="s">
        <v>122</v>
      </c>
      <c r="C596">
        <v>2024</v>
      </c>
      <c r="D596" s="4">
        <v>3545.92</v>
      </c>
      <c r="E596" s="26">
        <v>45417</v>
      </c>
      <c r="F596" s="5"/>
    </row>
    <row r="597" spans="1:6" x14ac:dyDescent="0.3">
      <c r="A597" t="s">
        <v>141</v>
      </c>
      <c r="B597" t="s">
        <v>116</v>
      </c>
      <c r="C597">
        <v>2024</v>
      </c>
      <c r="D597" s="4">
        <v>9003.64</v>
      </c>
      <c r="E597" s="26">
        <v>45389</v>
      </c>
      <c r="F597" s="5"/>
    </row>
    <row r="598" spans="1:6" x14ac:dyDescent="0.3">
      <c r="A598" t="s">
        <v>115</v>
      </c>
      <c r="B598" t="s">
        <v>116</v>
      </c>
      <c r="C598">
        <v>2023</v>
      </c>
      <c r="D598" s="4">
        <v>5903.56</v>
      </c>
      <c r="E598" s="26">
        <v>45132</v>
      </c>
      <c r="F598" s="5"/>
    </row>
    <row r="599" spans="1:6" x14ac:dyDescent="0.3">
      <c r="A599" t="s">
        <v>126</v>
      </c>
      <c r="B599" t="s">
        <v>116</v>
      </c>
      <c r="C599">
        <v>2023</v>
      </c>
      <c r="D599" s="4">
        <v>9600.4500000000007</v>
      </c>
      <c r="E599" s="26">
        <v>45132</v>
      </c>
      <c r="F599" s="5"/>
    </row>
    <row r="600" spans="1:6" x14ac:dyDescent="0.3">
      <c r="A600" t="s">
        <v>137</v>
      </c>
      <c r="B600" t="s">
        <v>128</v>
      </c>
      <c r="C600">
        <v>2023</v>
      </c>
      <c r="D600" s="4">
        <v>13510.36</v>
      </c>
      <c r="E600" s="26">
        <v>44937</v>
      </c>
      <c r="F600" s="5"/>
    </row>
    <row r="601" spans="1:6" x14ac:dyDescent="0.3">
      <c r="A601" t="s">
        <v>152</v>
      </c>
      <c r="B601" t="s">
        <v>116</v>
      </c>
      <c r="C601">
        <v>2025</v>
      </c>
      <c r="D601" s="4">
        <v>9209.92</v>
      </c>
      <c r="E601" s="26">
        <v>45760</v>
      </c>
      <c r="F601" s="5"/>
    </row>
    <row r="602" spans="1:6" x14ac:dyDescent="0.3">
      <c r="A602" t="s">
        <v>126</v>
      </c>
      <c r="B602" t="s">
        <v>116</v>
      </c>
      <c r="C602">
        <v>2025</v>
      </c>
      <c r="D602" s="4">
        <v>9177.43</v>
      </c>
      <c r="E602" s="26">
        <v>45904</v>
      </c>
      <c r="F602" s="5"/>
    </row>
    <row r="603" spans="1:6" x14ac:dyDescent="0.3">
      <c r="A603" t="s">
        <v>130</v>
      </c>
      <c r="B603" t="s">
        <v>116</v>
      </c>
      <c r="C603">
        <v>2024</v>
      </c>
      <c r="D603" s="4">
        <v>4138.7299999999996</v>
      </c>
      <c r="E603" s="26">
        <v>45584</v>
      </c>
      <c r="F603" s="5"/>
    </row>
    <row r="604" spans="1:6" x14ac:dyDescent="0.3">
      <c r="A604" t="s">
        <v>115</v>
      </c>
      <c r="B604" t="s">
        <v>116</v>
      </c>
      <c r="C604">
        <v>2023</v>
      </c>
      <c r="D604" s="4">
        <v>9201.7199999999993</v>
      </c>
      <c r="E604" s="26">
        <v>45110</v>
      </c>
      <c r="F604" s="5"/>
    </row>
    <row r="605" spans="1:6" x14ac:dyDescent="0.3">
      <c r="A605" t="s">
        <v>147</v>
      </c>
      <c r="B605" t="s">
        <v>120</v>
      </c>
      <c r="C605">
        <v>2025</v>
      </c>
      <c r="D605" s="4">
        <v>10393.870000000001</v>
      </c>
      <c r="E605" s="26">
        <v>46022</v>
      </c>
      <c r="F605" s="5"/>
    </row>
    <row r="606" spans="1:6" x14ac:dyDescent="0.3">
      <c r="A606" t="s">
        <v>134</v>
      </c>
      <c r="B606" t="s">
        <v>120</v>
      </c>
      <c r="C606">
        <v>2023</v>
      </c>
      <c r="D606" s="4">
        <v>5966.81</v>
      </c>
      <c r="E606" s="26">
        <v>45285</v>
      </c>
      <c r="F606" s="5"/>
    </row>
    <row r="607" spans="1:6" x14ac:dyDescent="0.3">
      <c r="A607" t="s">
        <v>119</v>
      </c>
      <c r="B607" t="s">
        <v>120</v>
      </c>
      <c r="C607">
        <v>2023</v>
      </c>
      <c r="D607" s="4">
        <v>13960.97</v>
      </c>
      <c r="E607" s="26">
        <v>45001</v>
      </c>
      <c r="F607" s="5"/>
    </row>
    <row r="608" spans="1:6" x14ac:dyDescent="0.3">
      <c r="A608" t="s">
        <v>155</v>
      </c>
      <c r="B608" t="s">
        <v>128</v>
      </c>
      <c r="C608">
        <v>2025</v>
      </c>
      <c r="D608" s="4">
        <v>2771.1</v>
      </c>
      <c r="E608" s="26">
        <v>45941</v>
      </c>
      <c r="F608" s="5"/>
    </row>
    <row r="609" spans="1:6" x14ac:dyDescent="0.3">
      <c r="A609" t="s">
        <v>130</v>
      </c>
      <c r="B609" t="s">
        <v>116</v>
      </c>
      <c r="C609">
        <v>2023</v>
      </c>
      <c r="D609" s="4">
        <v>327.89</v>
      </c>
      <c r="E609" s="26">
        <v>45003</v>
      </c>
      <c r="F609" s="5"/>
    </row>
    <row r="610" spans="1:6" x14ac:dyDescent="0.3">
      <c r="A610" t="s">
        <v>133</v>
      </c>
      <c r="B610" t="s">
        <v>128</v>
      </c>
      <c r="C610">
        <v>2023</v>
      </c>
      <c r="D610" s="4">
        <v>13012.68</v>
      </c>
      <c r="E610" s="26">
        <v>45146</v>
      </c>
      <c r="F610" s="5"/>
    </row>
    <row r="611" spans="1:6" x14ac:dyDescent="0.3">
      <c r="A611" t="s">
        <v>117</v>
      </c>
      <c r="B611" t="s">
        <v>116</v>
      </c>
      <c r="C611">
        <v>2024</v>
      </c>
      <c r="D611" s="4">
        <v>6470.02</v>
      </c>
      <c r="E611" s="26">
        <v>45509</v>
      </c>
      <c r="F611" s="5"/>
    </row>
    <row r="612" spans="1:6" x14ac:dyDescent="0.3">
      <c r="A612" t="s">
        <v>124</v>
      </c>
      <c r="B612" t="s">
        <v>120</v>
      </c>
      <c r="C612">
        <v>2025</v>
      </c>
      <c r="D612" s="4">
        <v>7015.99</v>
      </c>
      <c r="E612" s="26">
        <v>46000</v>
      </c>
      <c r="F612" s="5"/>
    </row>
    <row r="613" spans="1:6" x14ac:dyDescent="0.3">
      <c r="A613" t="s">
        <v>137</v>
      </c>
      <c r="B613" t="s">
        <v>128</v>
      </c>
      <c r="C613">
        <v>2025</v>
      </c>
      <c r="D613" s="4">
        <v>6658.69</v>
      </c>
      <c r="E613" s="26">
        <v>45959</v>
      </c>
      <c r="F613" s="5"/>
    </row>
    <row r="614" spans="1:6" x14ac:dyDescent="0.3">
      <c r="A614" t="s">
        <v>118</v>
      </c>
      <c r="B614" t="s">
        <v>116</v>
      </c>
      <c r="C614">
        <v>2023</v>
      </c>
      <c r="D614" s="4">
        <v>4763.4399999999996</v>
      </c>
      <c r="E614" s="26">
        <v>45157</v>
      </c>
      <c r="F614" s="5"/>
    </row>
    <row r="615" spans="1:6" x14ac:dyDescent="0.3">
      <c r="A615" t="s">
        <v>129</v>
      </c>
      <c r="B615" t="s">
        <v>120</v>
      </c>
      <c r="C615">
        <v>2024</v>
      </c>
      <c r="D615" s="4">
        <v>10116.65</v>
      </c>
      <c r="E615" s="26">
        <v>45453</v>
      </c>
      <c r="F615" s="5"/>
    </row>
    <row r="616" spans="1:6" x14ac:dyDescent="0.3">
      <c r="A616" t="s">
        <v>150</v>
      </c>
      <c r="B616" t="s">
        <v>116</v>
      </c>
      <c r="C616">
        <v>2024</v>
      </c>
      <c r="D616" s="4">
        <v>11112.59</v>
      </c>
      <c r="E616" s="26">
        <v>45617</v>
      </c>
      <c r="F616" s="5"/>
    </row>
    <row r="617" spans="1:6" x14ac:dyDescent="0.3">
      <c r="A617" t="s">
        <v>133</v>
      </c>
      <c r="B617" t="s">
        <v>128</v>
      </c>
      <c r="C617">
        <v>2024</v>
      </c>
      <c r="D617" s="4">
        <v>2621.83</v>
      </c>
      <c r="E617" s="26">
        <v>45322</v>
      </c>
      <c r="F617" s="5"/>
    </row>
    <row r="618" spans="1:6" x14ac:dyDescent="0.3">
      <c r="A618" t="s">
        <v>155</v>
      </c>
      <c r="B618" t="s">
        <v>128</v>
      </c>
      <c r="C618">
        <v>2025</v>
      </c>
      <c r="D618" s="4">
        <v>7310.87</v>
      </c>
      <c r="E618" s="26">
        <v>45802</v>
      </c>
      <c r="F618" s="5"/>
    </row>
    <row r="619" spans="1:6" x14ac:dyDescent="0.3">
      <c r="A619" t="s">
        <v>158</v>
      </c>
      <c r="B619" t="s">
        <v>120</v>
      </c>
      <c r="C619">
        <v>2025</v>
      </c>
      <c r="D619" s="4">
        <v>9435.73</v>
      </c>
      <c r="E619" s="26">
        <v>45747</v>
      </c>
      <c r="F619" s="5"/>
    </row>
    <row r="620" spans="1:6" x14ac:dyDescent="0.3">
      <c r="A620" t="s">
        <v>119</v>
      </c>
      <c r="B620" t="s">
        <v>120</v>
      </c>
      <c r="C620">
        <v>2023</v>
      </c>
      <c r="D620" s="4">
        <v>6788.87</v>
      </c>
      <c r="E620" s="26">
        <v>45214</v>
      </c>
      <c r="F620" s="5"/>
    </row>
    <row r="621" spans="1:6" x14ac:dyDescent="0.3">
      <c r="A621" t="s">
        <v>125</v>
      </c>
      <c r="B621" t="s">
        <v>122</v>
      </c>
      <c r="C621">
        <v>2023</v>
      </c>
      <c r="D621" s="4">
        <v>3798.84</v>
      </c>
      <c r="E621" s="26">
        <v>44940</v>
      </c>
      <c r="F621" s="5"/>
    </row>
    <row r="622" spans="1:6" x14ac:dyDescent="0.3">
      <c r="A622" t="s">
        <v>125</v>
      </c>
      <c r="B622" t="s">
        <v>122</v>
      </c>
      <c r="C622">
        <v>2025</v>
      </c>
      <c r="D622" s="4">
        <v>10601.84</v>
      </c>
      <c r="E622" s="26">
        <v>45841</v>
      </c>
      <c r="F622" s="5"/>
    </row>
    <row r="623" spans="1:6" x14ac:dyDescent="0.3">
      <c r="A623" t="s">
        <v>117</v>
      </c>
      <c r="B623" t="s">
        <v>116</v>
      </c>
      <c r="C623">
        <v>2024</v>
      </c>
      <c r="D623" s="4">
        <v>8237.9599999999991</v>
      </c>
      <c r="E623" s="26">
        <v>45545</v>
      </c>
      <c r="F623" s="5"/>
    </row>
    <row r="624" spans="1:6" x14ac:dyDescent="0.3">
      <c r="A624" t="s">
        <v>133</v>
      </c>
      <c r="B624" t="s">
        <v>128</v>
      </c>
      <c r="C624">
        <v>2023</v>
      </c>
      <c r="D624" s="4">
        <v>3809.43</v>
      </c>
      <c r="E624" s="26">
        <v>44950</v>
      </c>
      <c r="F624" s="5"/>
    </row>
    <row r="625" spans="1:6" x14ac:dyDescent="0.3">
      <c r="A625" t="s">
        <v>140</v>
      </c>
      <c r="B625" t="s">
        <v>128</v>
      </c>
      <c r="C625">
        <v>2024</v>
      </c>
      <c r="D625" s="4">
        <v>1057.32</v>
      </c>
      <c r="E625" s="26">
        <v>45410</v>
      </c>
      <c r="F625" s="5"/>
    </row>
    <row r="626" spans="1:6" x14ac:dyDescent="0.3">
      <c r="A626" t="s">
        <v>145</v>
      </c>
      <c r="B626" t="s">
        <v>120</v>
      </c>
      <c r="C626">
        <v>2025</v>
      </c>
      <c r="D626" s="4">
        <v>4433.93</v>
      </c>
      <c r="E626" s="26">
        <v>45880</v>
      </c>
      <c r="F626" s="5"/>
    </row>
    <row r="627" spans="1:6" x14ac:dyDescent="0.3">
      <c r="A627" t="s">
        <v>155</v>
      </c>
      <c r="B627" t="s">
        <v>128</v>
      </c>
      <c r="C627">
        <v>2025</v>
      </c>
      <c r="D627" s="4">
        <v>12938.86</v>
      </c>
      <c r="E627" s="26">
        <v>45956</v>
      </c>
      <c r="F627" s="5"/>
    </row>
    <row r="628" spans="1:6" x14ac:dyDescent="0.3">
      <c r="A628" t="s">
        <v>149</v>
      </c>
      <c r="B628" t="s">
        <v>122</v>
      </c>
      <c r="C628">
        <v>2023</v>
      </c>
      <c r="D628" s="4">
        <v>9014.2199999999993</v>
      </c>
      <c r="E628" s="26">
        <v>45167</v>
      </c>
      <c r="F628" s="5"/>
    </row>
    <row r="629" spans="1:6" x14ac:dyDescent="0.3">
      <c r="A629" t="s">
        <v>130</v>
      </c>
      <c r="B629" t="s">
        <v>116</v>
      </c>
      <c r="C629">
        <v>2025</v>
      </c>
      <c r="D629" s="4">
        <v>8681.83</v>
      </c>
      <c r="E629" s="26">
        <v>45679</v>
      </c>
      <c r="F629" s="5"/>
    </row>
    <row r="630" spans="1:6" x14ac:dyDescent="0.3">
      <c r="A630" t="s">
        <v>147</v>
      </c>
      <c r="B630" t="s">
        <v>120</v>
      </c>
      <c r="C630">
        <v>2023</v>
      </c>
      <c r="D630" s="4">
        <v>6798.91</v>
      </c>
      <c r="E630" s="26">
        <v>45200</v>
      </c>
      <c r="F630" s="5"/>
    </row>
    <row r="631" spans="1:6" x14ac:dyDescent="0.3">
      <c r="A631" t="s">
        <v>129</v>
      </c>
      <c r="B631" t="s">
        <v>120</v>
      </c>
      <c r="C631">
        <v>2025</v>
      </c>
      <c r="D631" s="4">
        <v>5938.67</v>
      </c>
      <c r="E631" s="26">
        <v>45692</v>
      </c>
      <c r="F631" s="5"/>
    </row>
    <row r="632" spans="1:6" x14ac:dyDescent="0.3">
      <c r="A632" t="s">
        <v>123</v>
      </c>
      <c r="B632" t="s">
        <v>120</v>
      </c>
      <c r="C632">
        <v>2025</v>
      </c>
      <c r="D632" s="4">
        <v>10651.44</v>
      </c>
      <c r="E632" s="26">
        <v>45891</v>
      </c>
      <c r="F632" s="5"/>
    </row>
    <row r="633" spans="1:6" x14ac:dyDescent="0.3">
      <c r="A633" t="s">
        <v>138</v>
      </c>
      <c r="B633" t="s">
        <v>122</v>
      </c>
      <c r="C633">
        <v>2024</v>
      </c>
      <c r="D633" s="4">
        <v>9588.7199999999993</v>
      </c>
      <c r="E633" s="26">
        <v>45433</v>
      </c>
      <c r="F633" s="5"/>
    </row>
    <row r="634" spans="1:6" x14ac:dyDescent="0.3">
      <c r="A634" t="s">
        <v>143</v>
      </c>
      <c r="B634" t="s">
        <v>122</v>
      </c>
      <c r="C634">
        <v>2023</v>
      </c>
      <c r="D634" s="4">
        <v>7451.99</v>
      </c>
      <c r="E634" s="26">
        <v>45094</v>
      </c>
      <c r="F634" s="5"/>
    </row>
    <row r="635" spans="1:6" x14ac:dyDescent="0.3">
      <c r="A635" t="s">
        <v>141</v>
      </c>
      <c r="B635" t="s">
        <v>116</v>
      </c>
      <c r="C635">
        <v>2025</v>
      </c>
      <c r="D635" s="4">
        <v>1277.82</v>
      </c>
      <c r="E635" s="26">
        <v>45667</v>
      </c>
      <c r="F635" s="5"/>
    </row>
    <row r="636" spans="1:6" x14ac:dyDescent="0.3">
      <c r="A636" t="s">
        <v>133</v>
      </c>
      <c r="B636" t="s">
        <v>128</v>
      </c>
      <c r="C636">
        <v>2023</v>
      </c>
      <c r="D636" s="4">
        <v>1052.26</v>
      </c>
      <c r="E636" s="26">
        <v>45156</v>
      </c>
      <c r="F636" s="5"/>
    </row>
    <row r="637" spans="1:6" x14ac:dyDescent="0.3">
      <c r="A637" t="s">
        <v>123</v>
      </c>
      <c r="B637" t="s">
        <v>120</v>
      </c>
      <c r="C637">
        <v>2025</v>
      </c>
      <c r="D637" s="4">
        <v>2989.76</v>
      </c>
      <c r="E637" s="26">
        <v>45962</v>
      </c>
      <c r="F637" s="5"/>
    </row>
    <row r="638" spans="1:6" x14ac:dyDescent="0.3">
      <c r="A638" t="s">
        <v>124</v>
      </c>
      <c r="B638" t="s">
        <v>120</v>
      </c>
      <c r="C638">
        <v>2023</v>
      </c>
      <c r="D638" s="4">
        <v>2470.61</v>
      </c>
      <c r="E638" s="26">
        <v>45233</v>
      </c>
      <c r="F638" s="5"/>
    </row>
    <row r="639" spans="1:6" x14ac:dyDescent="0.3">
      <c r="A639" t="s">
        <v>141</v>
      </c>
      <c r="B639" t="s">
        <v>116</v>
      </c>
      <c r="C639">
        <v>2025</v>
      </c>
      <c r="D639" s="4">
        <v>1804.11</v>
      </c>
      <c r="E639" s="26">
        <v>45831</v>
      </c>
      <c r="F639" s="5"/>
    </row>
    <row r="640" spans="1:6" x14ac:dyDescent="0.3">
      <c r="A640" t="s">
        <v>138</v>
      </c>
      <c r="B640" t="s">
        <v>122</v>
      </c>
      <c r="C640">
        <v>2025</v>
      </c>
      <c r="D640" s="4">
        <v>1454.99</v>
      </c>
      <c r="E640" s="26">
        <v>45928</v>
      </c>
      <c r="F640" s="5"/>
    </row>
    <row r="641" spans="1:6" x14ac:dyDescent="0.3">
      <c r="A641" t="s">
        <v>132</v>
      </c>
      <c r="B641" t="s">
        <v>128</v>
      </c>
      <c r="C641">
        <v>2025</v>
      </c>
      <c r="D641" s="4">
        <v>11359.95</v>
      </c>
      <c r="E641" s="26">
        <v>45839</v>
      </c>
      <c r="F641" s="5"/>
    </row>
    <row r="642" spans="1:6" x14ac:dyDescent="0.3">
      <c r="A642" t="s">
        <v>129</v>
      </c>
      <c r="B642" t="s">
        <v>120</v>
      </c>
      <c r="C642">
        <v>2023</v>
      </c>
      <c r="D642" s="4">
        <v>7282.82</v>
      </c>
      <c r="E642" s="26">
        <v>45197</v>
      </c>
      <c r="F642" s="5"/>
    </row>
    <row r="643" spans="1:6" x14ac:dyDescent="0.3">
      <c r="A643" t="s">
        <v>129</v>
      </c>
      <c r="B643" t="s">
        <v>120</v>
      </c>
      <c r="C643">
        <v>2023</v>
      </c>
      <c r="D643" s="4">
        <v>7911.4</v>
      </c>
      <c r="E643" s="26">
        <v>45045</v>
      </c>
      <c r="F643" s="5"/>
    </row>
    <row r="644" spans="1:6" x14ac:dyDescent="0.3">
      <c r="A644" t="s">
        <v>149</v>
      </c>
      <c r="B644" t="s">
        <v>122</v>
      </c>
      <c r="C644">
        <v>2023</v>
      </c>
      <c r="D644" s="4">
        <v>5664.09</v>
      </c>
      <c r="E644" s="26">
        <v>44971</v>
      </c>
      <c r="F644" s="5"/>
    </row>
    <row r="645" spans="1:6" x14ac:dyDescent="0.3">
      <c r="A645" t="s">
        <v>150</v>
      </c>
      <c r="B645" t="s">
        <v>116</v>
      </c>
      <c r="C645">
        <v>2024</v>
      </c>
      <c r="D645" s="4">
        <v>8180.7</v>
      </c>
      <c r="E645" s="26">
        <v>45373</v>
      </c>
      <c r="F645" s="5"/>
    </row>
    <row r="646" spans="1:6" x14ac:dyDescent="0.3">
      <c r="A646" t="s">
        <v>134</v>
      </c>
      <c r="B646" t="s">
        <v>120</v>
      </c>
      <c r="C646">
        <v>2025</v>
      </c>
      <c r="D646" s="4">
        <v>4954.5</v>
      </c>
      <c r="E646" s="26">
        <v>45794</v>
      </c>
      <c r="F646" s="5"/>
    </row>
    <row r="647" spans="1:6" x14ac:dyDescent="0.3">
      <c r="A647" t="s">
        <v>121</v>
      </c>
      <c r="B647" t="s">
        <v>122</v>
      </c>
      <c r="C647">
        <v>2023</v>
      </c>
      <c r="D647" s="4">
        <v>13097.24</v>
      </c>
      <c r="E647" s="26">
        <v>45050</v>
      </c>
      <c r="F647" s="5"/>
    </row>
    <row r="648" spans="1:6" x14ac:dyDescent="0.3">
      <c r="A648" t="s">
        <v>121</v>
      </c>
      <c r="B648" t="s">
        <v>122</v>
      </c>
      <c r="C648">
        <v>2025</v>
      </c>
      <c r="D648" s="4">
        <v>637.94000000000005</v>
      </c>
      <c r="E648" s="26">
        <v>45893</v>
      </c>
      <c r="F648" s="5"/>
    </row>
    <row r="649" spans="1:6" x14ac:dyDescent="0.3">
      <c r="A649" t="s">
        <v>148</v>
      </c>
      <c r="B649" t="s">
        <v>120</v>
      </c>
      <c r="C649">
        <v>2024</v>
      </c>
      <c r="D649" s="4">
        <v>10811.81</v>
      </c>
      <c r="E649" s="26">
        <v>45295</v>
      </c>
      <c r="F649" s="5"/>
    </row>
    <row r="650" spans="1:6" x14ac:dyDescent="0.3">
      <c r="A650" t="s">
        <v>148</v>
      </c>
      <c r="B650" t="s">
        <v>120</v>
      </c>
      <c r="C650">
        <v>2025</v>
      </c>
      <c r="D650" s="4">
        <v>13901.42</v>
      </c>
      <c r="E650" s="26">
        <v>45693</v>
      </c>
      <c r="F650" s="5"/>
    </row>
    <row r="651" spans="1:6" x14ac:dyDescent="0.3">
      <c r="A651" t="s">
        <v>127</v>
      </c>
      <c r="B651" t="s">
        <v>128</v>
      </c>
      <c r="C651">
        <v>2025</v>
      </c>
      <c r="D651" s="4">
        <v>12200.76</v>
      </c>
      <c r="E651" s="26">
        <v>45845</v>
      </c>
      <c r="F651" s="5"/>
    </row>
    <row r="652" spans="1:6" x14ac:dyDescent="0.3">
      <c r="A652" t="s">
        <v>127</v>
      </c>
      <c r="B652" t="s">
        <v>128</v>
      </c>
      <c r="C652">
        <v>2025</v>
      </c>
      <c r="D652" s="4">
        <v>1307.45</v>
      </c>
      <c r="E652" s="26">
        <v>45696</v>
      </c>
      <c r="F652" s="5"/>
    </row>
    <row r="653" spans="1:6" x14ac:dyDescent="0.3">
      <c r="A653" t="s">
        <v>124</v>
      </c>
      <c r="B653" t="s">
        <v>120</v>
      </c>
      <c r="C653">
        <v>2023</v>
      </c>
      <c r="D653" s="4">
        <v>9218.77</v>
      </c>
      <c r="E653" s="26">
        <v>45199</v>
      </c>
      <c r="F653" s="5"/>
    </row>
    <row r="654" spans="1:6" x14ac:dyDescent="0.3">
      <c r="A654" t="s">
        <v>139</v>
      </c>
      <c r="B654" t="s">
        <v>120</v>
      </c>
      <c r="C654">
        <v>2023</v>
      </c>
      <c r="D654" s="4">
        <v>2662.94</v>
      </c>
      <c r="E654" s="26">
        <v>45169</v>
      </c>
      <c r="F654" s="5"/>
    </row>
    <row r="655" spans="1:6" x14ac:dyDescent="0.3">
      <c r="A655" t="s">
        <v>124</v>
      </c>
      <c r="B655" t="s">
        <v>120</v>
      </c>
      <c r="C655">
        <v>2025</v>
      </c>
      <c r="D655" s="4">
        <v>7498.03</v>
      </c>
      <c r="E655" s="26">
        <v>45731</v>
      </c>
      <c r="F655" s="5"/>
    </row>
    <row r="656" spans="1:6" x14ac:dyDescent="0.3">
      <c r="A656" t="s">
        <v>147</v>
      </c>
      <c r="B656" t="s">
        <v>120</v>
      </c>
      <c r="C656">
        <v>2023</v>
      </c>
      <c r="D656" s="4">
        <v>10635.28</v>
      </c>
      <c r="E656" s="26">
        <v>44934</v>
      </c>
      <c r="F656" s="5"/>
    </row>
    <row r="657" spans="1:6" x14ac:dyDescent="0.3">
      <c r="A657" t="s">
        <v>149</v>
      </c>
      <c r="B657" t="s">
        <v>122</v>
      </c>
      <c r="C657">
        <v>2025</v>
      </c>
      <c r="D657" s="4">
        <v>9494.2999999999993</v>
      </c>
      <c r="E657" s="26">
        <v>45875</v>
      </c>
      <c r="F657" s="5"/>
    </row>
    <row r="658" spans="1:6" x14ac:dyDescent="0.3">
      <c r="A658" t="s">
        <v>124</v>
      </c>
      <c r="B658" t="s">
        <v>120</v>
      </c>
      <c r="C658">
        <v>2025</v>
      </c>
      <c r="D658" s="4">
        <v>7540.68</v>
      </c>
      <c r="E658" s="26">
        <v>45795</v>
      </c>
      <c r="F658" s="5"/>
    </row>
    <row r="659" spans="1:6" x14ac:dyDescent="0.3">
      <c r="A659" t="s">
        <v>147</v>
      </c>
      <c r="B659" t="s">
        <v>120</v>
      </c>
      <c r="C659">
        <v>2024</v>
      </c>
      <c r="D659" s="4">
        <v>6556.63</v>
      </c>
      <c r="E659" s="26">
        <v>45433</v>
      </c>
      <c r="F659" s="5"/>
    </row>
    <row r="660" spans="1:6" x14ac:dyDescent="0.3">
      <c r="A660" t="s">
        <v>146</v>
      </c>
      <c r="B660" t="s">
        <v>128</v>
      </c>
      <c r="C660">
        <v>2024</v>
      </c>
      <c r="D660" s="4">
        <v>2801.03</v>
      </c>
      <c r="E660" s="26">
        <v>45491</v>
      </c>
      <c r="F660" s="5"/>
    </row>
    <row r="661" spans="1:6" x14ac:dyDescent="0.3">
      <c r="A661" t="s">
        <v>145</v>
      </c>
      <c r="B661" t="s">
        <v>120</v>
      </c>
      <c r="C661">
        <v>2023</v>
      </c>
      <c r="D661" s="4">
        <v>11370.8</v>
      </c>
      <c r="E661" s="26">
        <v>44992</v>
      </c>
      <c r="F661" s="5"/>
    </row>
    <row r="662" spans="1:6" x14ac:dyDescent="0.3">
      <c r="A662" t="s">
        <v>148</v>
      </c>
      <c r="B662" t="s">
        <v>120</v>
      </c>
      <c r="C662">
        <v>2023</v>
      </c>
      <c r="D662" s="4">
        <v>3521.19</v>
      </c>
      <c r="E662" s="26">
        <v>44959</v>
      </c>
      <c r="F662" s="5"/>
    </row>
    <row r="663" spans="1:6" x14ac:dyDescent="0.3">
      <c r="A663" t="s">
        <v>121</v>
      </c>
      <c r="B663" t="s">
        <v>122</v>
      </c>
      <c r="C663">
        <v>2023</v>
      </c>
      <c r="D663" s="4">
        <v>8396.43</v>
      </c>
      <c r="E663" s="26">
        <v>45133</v>
      </c>
      <c r="F663" s="5"/>
    </row>
    <row r="664" spans="1:6" x14ac:dyDescent="0.3">
      <c r="A664" t="s">
        <v>151</v>
      </c>
      <c r="B664" t="s">
        <v>120</v>
      </c>
      <c r="C664">
        <v>2023</v>
      </c>
      <c r="D664" s="4">
        <v>3577.33</v>
      </c>
      <c r="E664" s="26">
        <v>45026</v>
      </c>
      <c r="F664" s="5"/>
    </row>
    <row r="665" spans="1:6" x14ac:dyDescent="0.3">
      <c r="A665" t="s">
        <v>134</v>
      </c>
      <c r="B665" t="s">
        <v>120</v>
      </c>
      <c r="C665">
        <v>2025</v>
      </c>
      <c r="D665" s="4">
        <v>6257.69</v>
      </c>
      <c r="E665" s="26">
        <v>45750</v>
      </c>
      <c r="F665" s="5"/>
    </row>
    <row r="666" spans="1:6" x14ac:dyDescent="0.3">
      <c r="A666" t="s">
        <v>124</v>
      </c>
      <c r="B666" t="s">
        <v>120</v>
      </c>
      <c r="C666">
        <v>2024</v>
      </c>
      <c r="D666" s="4">
        <v>10610.52</v>
      </c>
      <c r="E666" s="26">
        <v>45371</v>
      </c>
      <c r="F666" s="5"/>
    </row>
    <row r="667" spans="1:6" x14ac:dyDescent="0.3">
      <c r="A667" t="s">
        <v>115</v>
      </c>
      <c r="B667" t="s">
        <v>116</v>
      </c>
      <c r="C667">
        <v>2023</v>
      </c>
      <c r="D667" s="4">
        <v>7153.76</v>
      </c>
      <c r="E667" s="26">
        <v>45213</v>
      </c>
      <c r="F667" s="5"/>
    </row>
    <row r="668" spans="1:6" x14ac:dyDescent="0.3">
      <c r="A668" t="s">
        <v>130</v>
      </c>
      <c r="B668" t="s">
        <v>116</v>
      </c>
      <c r="C668">
        <v>2024</v>
      </c>
      <c r="D668" s="4">
        <v>11457.85</v>
      </c>
      <c r="E668" s="26">
        <v>45406</v>
      </c>
      <c r="F668" s="5"/>
    </row>
    <row r="669" spans="1:6" x14ac:dyDescent="0.3">
      <c r="A669" t="s">
        <v>133</v>
      </c>
      <c r="B669" t="s">
        <v>128</v>
      </c>
      <c r="C669">
        <v>2024</v>
      </c>
      <c r="D669" s="4">
        <v>8169.15</v>
      </c>
      <c r="E669" s="26">
        <v>45580</v>
      </c>
      <c r="F669" s="5"/>
    </row>
    <row r="670" spans="1:6" x14ac:dyDescent="0.3">
      <c r="A670" t="s">
        <v>136</v>
      </c>
      <c r="B670" t="s">
        <v>120</v>
      </c>
      <c r="C670">
        <v>2024</v>
      </c>
      <c r="D670" s="4">
        <v>4364.3500000000004</v>
      </c>
      <c r="E670" s="26">
        <v>45412</v>
      </c>
      <c r="F670" s="5"/>
    </row>
    <row r="671" spans="1:6" x14ac:dyDescent="0.3">
      <c r="A671" t="s">
        <v>146</v>
      </c>
      <c r="B671" t="s">
        <v>128</v>
      </c>
      <c r="C671">
        <v>2025</v>
      </c>
      <c r="D671" s="4">
        <v>3250.39</v>
      </c>
      <c r="E671" s="26">
        <v>45994</v>
      </c>
      <c r="F671" s="5"/>
    </row>
    <row r="672" spans="1:6" x14ac:dyDescent="0.3">
      <c r="A672" t="s">
        <v>149</v>
      </c>
      <c r="B672" t="s">
        <v>122</v>
      </c>
      <c r="C672">
        <v>2024</v>
      </c>
      <c r="D672" s="4">
        <v>1041.22</v>
      </c>
      <c r="E672" s="26">
        <v>45490</v>
      </c>
      <c r="F672" s="5"/>
    </row>
    <row r="673" spans="1:6" x14ac:dyDescent="0.3">
      <c r="A673" t="s">
        <v>131</v>
      </c>
      <c r="B673" t="s">
        <v>122</v>
      </c>
      <c r="C673">
        <v>2023</v>
      </c>
      <c r="D673" s="4">
        <v>8838.7099999999991</v>
      </c>
      <c r="E673" s="26">
        <v>45285</v>
      </c>
      <c r="F673" s="5"/>
    </row>
    <row r="674" spans="1:6" x14ac:dyDescent="0.3">
      <c r="A674" t="s">
        <v>144</v>
      </c>
      <c r="B674" t="s">
        <v>116</v>
      </c>
      <c r="C674">
        <v>2025</v>
      </c>
      <c r="D674" s="4">
        <v>847</v>
      </c>
      <c r="E674" s="26">
        <v>45942</v>
      </c>
      <c r="F674" s="5"/>
    </row>
    <row r="675" spans="1:6" x14ac:dyDescent="0.3">
      <c r="A675" t="s">
        <v>139</v>
      </c>
      <c r="B675" t="s">
        <v>120</v>
      </c>
      <c r="C675">
        <v>2025</v>
      </c>
      <c r="D675" s="4">
        <v>11044.1</v>
      </c>
      <c r="E675" s="26">
        <v>45707</v>
      </c>
      <c r="F675" s="5"/>
    </row>
    <row r="676" spans="1:6" x14ac:dyDescent="0.3">
      <c r="A676" t="s">
        <v>136</v>
      </c>
      <c r="B676" t="s">
        <v>120</v>
      </c>
      <c r="C676">
        <v>2025</v>
      </c>
      <c r="D676" s="4">
        <v>5833.98</v>
      </c>
      <c r="E676" s="26">
        <v>45779</v>
      </c>
      <c r="F676" s="5"/>
    </row>
    <row r="677" spans="1:6" x14ac:dyDescent="0.3">
      <c r="A677" t="s">
        <v>149</v>
      </c>
      <c r="B677" t="s">
        <v>122</v>
      </c>
      <c r="C677">
        <v>2025</v>
      </c>
      <c r="D677" s="4">
        <v>2737.53</v>
      </c>
      <c r="E677" s="26">
        <v>45697</v>
      </c>
      <c r="F677" s="5"/>
    </row>
    <row r="678" spans="1:6" x14ac:dyDescent="0.3">
      <c r="A678" t="s">
        <v>124</v>
      </c>
      <c r="B678" t="s">
        <v>120</v>
      </c>
      <c r="C678">
        <v>2025</v>
      </c>
      <c r="D678" s="4">
        <v>3525.36</v>
      </c>
      <c r="E678" s="26">
        <v>45896</v>
      </c>
      <c r="F678" s="5"/>
    </row>
    <row r="679" spans="1:6" x14ac:dyDescent="0.3">
      <c r="A679" t="s">
        <v>147</v>
      </c>
      <c r="B679" t="s">
        <v>120</v>
      </c>
      <c r="C679">
        <v>2024</v>
      </c>
      <c r="D679" s="4">
        <v>12034.07</v>
      </c>
      <c r="E679" s="26">
        <v>45542</v>
      </c>
      <c r="F679" s="5"/>
    </row>
    <row r="680" spans="1:6" x14ac:dyDescent="0.3">
      <c r="A680" t="s">
        <v>146</v>
      </c>
      <c r="B680" t="s">
        <v>128</v>
      </c>
      <c r="C680">
        <v>2025</v>
      </c>
      <c r="D680" s="4">
        <v>12823.43</v>
      </c>
      <c r="E680" s="26">
        <v>45875</v>
      </c>
      <c r="F680" s="5"/>
    </row>
    <row r="681" spans="1:6" x14ac:dyDescent="0.3">
      <c r="A681" t="s">
        <v>123</v>
      </c>
      <c r="B681" t="s">
        <v>120</v>
      </c>
      <c r="C681">
        <v>2025</v>
      </c>
      <c r="D681" s="4">
        <v>13555.45</v>
      </c>
      <c r="E681" s="26">
        <v>45772</v>
      </c>
      <c r="F681" s="5"/>
    </row>
    <row r="682" spans="1:6" x14ac:dyDescent="0.3">
      <c r="A682" t="s">
        <v>123</v>
      </c>
      <c r="B682" t="s">
        <v>120</v>
      </c>
      <c r="C682">
        <v>2025</v>
      </c>
      <c r="D682" s="4">
        <v>2050.48</v>
      </c>
      <c r="E682" s="26">
        <v>46012</v>
      </c>
      <c r="F682" s="5"/>
    </row>
    <row r="683" spans="1:6" x14ac:dyDescent="0.3">
      <c r="A683" t="s">
        <v>125</v>
      </c>
      <c r="B683" t="s">
        <v>122</v>
      </c>
      <c r="C683">
        <v>2024</v>
      </c>
      <c r="D683" s="4">
        <v>3006.05</v>
      </c>
      <c r="E683" s="26">
        <v>45449</v>
      </c>
      <c r="F683" s="5"/>
    </row>
    <row r="684" spans="1:6" x14ac:dyDescent="0.3">
      <c r="A684" t="s">
        <v>158</v>
      </c>
      <c r="B684" t="s">
        <v>120</v>
      </c>
      <c r="C684">
        <v>2025</v>
      </c>
      <c r="D684" s="4">
        <v>11890.44</v>
      </c>
      <c r="E684" s="26">
        <v>45848</v>
      </c>
      <c r="F684" s="5"/>
    </row>
    <row r="685" spans="1:6" x14ac:dyDescent="0.3">
      <c r="A685" t="s">
        <v>158</v>
      </c>
      <c r="B685" t="s">
        <v>120</v>
      </c>
      <c r="C685">
        <v>2024</v>
      </c>
      <c r="D685" s="4">
        <v>911.21</v>
      </c>
      <c r="E685" s="26">
        <v>45317</v>
      </c>
      <c r="F685" s="5"/>
    </row>
    <row r="686" spans="1:6" x14ac:dyDescent="0.3">
      <c r="A686" t="s">
        <v>127</v>
      </c>
      <c r="B686" t="s">
        <v>128</v>
      </c>
      <c r="C686">
        <v>2023</v>
      </c>
      <c r="D686" s="4">
        <v>12255.96</v>
      </c>
      <c r="E686" s="26">
        <v>45007</v>
      </c>
      <c r="F686" s="5"/>
    </row>
    <row r="687" spans="1:6" x14ac:dyDescent="0.3">
      <c r="A687" t="s">
        <v>118</v>
      </c>
      <c r="B687" t="s">
        <v>116</v>
      </c>
      <c r="C687">
        <v>2024</v>
      </c>
      <c r="D687" s="4">
        <v>6815.64</v>
      </c>
      <c r="E687" s="26">
        <v>45371</v>
      </c>
      <c r="F687" s="5"/>
    </row>
    <row r="688" spans="1:6" x14ac:dyDescent="0.3">
      <c r="A688" t="s">
        <v>117</v>
      </c>
      <c r="B688" t="s">
        <v>116</v>
      </c>
      <c r="C688">
        <v>2024</v>
      </c>
      <c r="D688" s="4">
        <v>13406.87</v>
      </c>
      <c r="E688" s="26">
        <v>45547</v>
      </c>
      <c r="F688" s="5"/>
    </row>
    <row r="689" spans="1:6" x14ac:dyDescent="0.3">
      <c r="A689" t="s">
        <v>150</v>
      </c>
      <c r="B689" t="s">
        <v>116</v>
      </c>
      <c r="C689">
        <v>2024</v>
      </c>
      <c r="D689" s="4">
        <v>13132.8</v>
      </c>
      <c r="E689" s="26">
        <v>45360</v>
      </c>
      <c r="F689" s="5"/>
    </row>
    <row r="690" spans="1:6" x14ac:dyDescent="0.3">
      <c r="A690" t="s">
        <v>145</v>
      </c>
      <c r="B690" t="s">
        <v>120</v>
      </c>
      <c r="C690">
        <v>2025</v>
      </c>
      <c r="D690" s="4">
        <v>12819.29</v>
      </c>
      <c r="E690" s="26">
        <v>45907</v>
      </c>
      <c r="F690" s="5"/>
    </row>
    <row r="691" spans="1:6" x14ac:dyDescent="0.3">
      <c r="A691" t="s">
        <v>143</v>
      </c>
      <c r="B691" t="s">
        <v>122</v>
      </c>
      <c r="C691">
        <v>2024</v>
      </c>
      <c r="D691" s="4">
        <v>5673.52</v>
      </c>
      <c r="E691" s="26">
        <v>45345</v>
      </c>
      <c r="F691" s="5"/>
    </row>
    <row r="692" spans="1:6" x14ac:dyDescent="0.3">
      <c r="A692" t="s">
        <v>125</v>
      </c>
      <c r="B692" t="s">
        <v>122</v>
      </c>
      <c r="C692">
        <v>2024</v>
      </c>
      <c r="D692" s="4">
        <v>10902.09</v>
      </c>
      <c r="E692" s="26">
        <v>45585</v>
      </c>
      <c r="F692" s="5"/>
    </row>
    <row r="693" spans="1:6" x14ac:dyDescent="0.3">
      <c r="A693" t="s">
        <v>127</v>
      </c>
      <c r="B693" t="s">
        <v>128</v>
      </c>
      <c r="C693">
        <v>2025</v>
      </c>
      <c r="D693" s="4">
        <v>7564.37</v>
      </c>
      <c r="E693" s="26">
        <v>45881</v>
      </c>
      <c r="F693" s="5"/>
    </row>
    <row r="694" spans="1:6" x14ac:dyDescent="0.3">
      <c r="A694" t="s">
        <v>139</v>
      </c>
      <c r="B694" t="s">
        <v>120</v>
      </c>
      <c r="C694">
        <v>2024</v>
      </c>
      <c r="D694" s="4">
        <v>3809.55</v>
      </c>
      <c r="E694" s="26">
        <v>45558</v>
      </c>
      <c r="F694" s="5"/>
    </row>
    <row r="695" spans="1:6" x14ac:dyDescent="0.3">
      <c r="A695" t="s">
        <v>132</v>
      </c>
      <c r="B695" t="s">
        <v>128</v>
      </c>
      <c r="C695">
        <v>2025</v>
      </c>
      <c r="D695" s="4">
        <v>6630.86</v>
      </c>
      <c r="E695" s="26">
        <v>45945</v>
      </c>
      <c r="F695" s="5"/>
    </row>
    <row r="696" spans="1:6" x14ac:dyDescent="0.3">
      <c r="A696" t="s">
        <v>126</v>
      </c>
      <c r="B696" t="s">
        <v>116</v>
      </c>
      <c r="C696">
        <v>2024</v>
      </c>
      <c r="D696" s="4">
        <v>12817.76</v>
      </c>
      <c r="E696" s="26">
        <v>45582</v>
      </c>
      <c r="F696" s="5"/>
    </row>
    <row r="697" spans="1:6" x14ac:dyDescent="0.3">
      <c r="A697" t="s">
        <v>140</v>
      </c>
      <c r="B697" t="s">
        <v>128</v>
      </c>
      <c r="C697">
        <v>2024</v>
      </c>
      <c r="D697" s="4">
        <v>5912.24</v>
      </c>
      <c r="E697" s="26">
        <v>45567</v>
      </c>
      <c r="F697" s="5"/>
    </row>
    <row r="698" spans="1:6" x14ac:dyDescent="0.3">
      <c r="A698" t="s">
        <v>133</v>
      </c>
      <c r="B698" t="s">
        <v>128</v>
      </c>
      <c r="C698">
        <v>2024</v>
      </c>
      <c r="D698" s="4">
        <v>10429.280000000001</v>
      </c>
      <c r="E698" s="26">
        <v>45380</v>
      </c>
      <c r="F698" s="5"/>
    </row>
    <row r="699" spans="1:6" x14ac:dyDescent="0.3">
      <c r="A699" t="s">
        <v>159</v>
      </c>
      <c r="B699" t="s">
        <v>116</v>
      </c>
      <c r="C699">
        <v>2024</v>
      </c>
      <c r="D699" s="4">
        <v>7835.7</v>
      </c>
      <c r="E699" s="26">
        <v>45461</v>
      </c>
      <c r="F699" s="5"/>
    </row>
    <row r="700" spans="1:6" x14ac:dyDescent="0.3">
      <c r="A700" t="s">
        <v>131</v>
      </c>
      <c r="B700" t="s">
        <v>122</v>
      </c>
      <c r="C700">
        <v>2025</v>
      </c>
      <c r="D700" s="4">
        <v>4273.6499999999996</v>
      </c>
      <c r="E700" s="26">
        <v>45782</v>
      </c>
      <c r="F700" s="5"/>
    </row>
    <row r="701" spans="1:6" x14ac:dyDescent="0.3">
      <c r="A701" t="s">
        <v>118</v>
      </c>
      <c r="B701" t="s">
        <v>116</v>
      </c>
      <c r="C701">
        <v>2024</v>
      </c>
      <c r="D701" s="4">
        <v>3374.26</v>
      </c>
      <c r="E701" s="26">
        <v>45602</v>
      </c>
      <c r="F701" s="5"/>
    </row>
    <row r="702" spans="1:6" x14ac:dyDescent="0.3">
      <c r="A702" t="s">
        <v>133</v>
      </c>
      <c r="B702" t="s">
        <v>128</v>
      </c>
      <c r="C702">
        <v>2024</v>
      </c>
      <c r="D702" s="4">
        <v>7090.36</v>
      </c>
      <c r="E702" s="26">
        <v>45430</v>
      </c>
      <c r="F702" s="5"/>
    </row>
    <row r="703" spans="1:6" x14ac:dyDescent="0.3">
      <c r="A703" t="s">
        <v>117</v>
      </c>
      <c r="B703" t="s">
        <v>116</v>
      </c>
      <c r="C703">
        <v>2024</v>
      </c>
      <c r="D703" s="4">
        <v>10734.38</v>
      </c>
      <c r="E703" s="26">
        <v>45454</v>
      </c>
      <c r="F703" s="5"/>
    </row>
    <row r="704" spans="1:6" x14ac:dyDescent="0.3">
      <c r="A704" t="s">
        <v>156</v>
      </c>
      <c r="B704" t="s">
        <v>128</v>
      </c>
      <c r="C704">
        <v>2025</v>
      </c>
      <c r="D704" s="4">
        <v>6559.44</v>
      </c>
      <c r="E704" s="26">
        <v>45931</v>
      </c>
      <c r="F704" s="5"/>
    </row>
    <row r="705" spans="1:6" x14ac:dyDescent="0.3">
      <c r="A705" t="s">
        <v>139</v>
      </c>
      <c r="B705" t="s">
        <v>120</v>
      </c>
      <c r="C705">
        <v>2023</v>
      </c>
      <c r="D705" s="4">
        <v>2131.4299999999998</v>
      </c>
      <c r="E705" s="26">
        <v>45273</v>
      </c>
      <c r="F705" s="5"/>
    </row>
    <row r="706" spans="1:6" x14ac:dyDescent="0.3">
      <c r="A706" t="s">
        <v>124</v>
      </c>
      <c r="B706" t="s">
        <v>120</v>
      </c>
      <c r="C706">
        <v>2025</v>
      </c>
      <c r="D706" s="4">
        <v>2739.86</v>
      </c>
      <c r="E706" s="26">
        <v>45927</v>
      </c>
      <c r="F706" s="5"/>
    </row>
    <row r="707" spans="1:6" x14ac:dyDescent="0.3">
      <c r="A707" t="s">
        <v>124</v>
      </c>
      <c r="B707" t="s">
        <v>120</v>
      </c>
      <c r="C707">
        <v>2023</v>
      </c>
      <c r="D707" s="4">
        <v>7430.43</v>
      </c>
      <c r="E707" s="26">
        <v>45047</v>
      </c>
      <c r="F707" s="5"/>
    </row>
    <row r="708" spans="1:6" x14ac:dyDescent="0.3">
      <c r="A708" t="s">
        <v>121</v>
      </c>
      <c r="B708" t="s">
        <v>122</v>
      </c>
      <c r="C708">
        <v>2023</v>
      </c>
      <c r="D708" s="4">
        <v>10747.88</v>
      </c>
      <c r="E708" s="26">
        <v>45026</v>
      </c>
      <c r="F708" s="5"/>
    </row>
    <row r="709" spans="1:6" x14ac:dyDescent="0.3">
      <c r="A709" t="s">
        <v>148</v>
      </c>
      <c r="B709" t="s">
        <v>120</v>
      </c>
      <c r="C709">
        <v>2023</v>
      </c>
      <c r="D709" s="4">
        <v>11827.12</v>
      </c>
      <c r="E709" s="26">
        <v>45208</v>
      </c>
      <c r="F709" s="5"/>
    </row>
    <row r="710" spans="1:6" x14ac:dyDescent="0.3">
      <c r="A710" t="s">
        <v>147</v>
      </c>
      <c r="B710" t="s">
        <v>120</v>
      </c>
      <c r="C710">
        <v>2023</v>
      </c>
      <c r="D710" s="4">
        <v>9958.94</v>
      </c>
      <c r="E710" s="26">
        <v>45066</v>
      </c>
      <c r="F710" s="5"/>
    </row>
    <row r="711" spans="1:6" x14ac:dyDescent="0.3">
      <c r="A711" t="s">
        <v>150</v>
      </c>
      <c r="B711" t="s">
        <v>116</v>
      </c>
      <c r="C711">
        <v>2024</v>
      </c>
      <c r="D711" s="4">
        <v>7179.11</v>
      </c>
      <c r="E711" s="26">
        <v>45374</v>
      </c>
      <c r="F711" s="5"/>
    </row>
    <row r="712" spans="1:6" x14ac:dyDescent="0.3">
      <c r="A712" t="s">
        <v>140</v>
      </c>
      <c r="B712" t="s">
        <v>128</v>
      </c>
      <c r="C712">
        <v>2023</v>
      </c>
      <c r="D712" s="4">
        <v>8726.1299999999992</v>
      </c>
      <c r="E712" s="26">
        <v>45050</v>
      </c>
      <c r="F712" s="5"/>
    </row>
    <row r="713" spans="1:6" x14ac:dyDescent="0.3">
      <c r="A713" t="s">
        <v>153</v>
      </c>
      <c r="B713" t="s">
        <v>122</v>
      </c>
      <c r="C713">
        <v>2025</v>
      </c>
      <c r="D713" s="4">
        <v>9298.1200000000008</v>
      </c>
      <c r="E713" s="26">
        <v>45916</v>
      </c>
      <c r="F713" s="5"/>
    </row>
    <row r="714" spans="1:6" x14ac:dyDescent="0.3">
      <c r="A714" t="s">
        <v>159</v>
      </c>
      <c r="B714" t="s">
        <v>116</v>
      </c>
      <c r="C714">
        <v>2023</v>
      </c>
      <c r="D714" s="4">
        <v>7544.53</v>
      </c>
      <c r="E714" s="26">
        <v>44940</v>
      </c>
      <c r="F714" s="5"/>
    </row>
    <row r="715" spans="1:6" x14ac:dyDescent="0.3">
      <c r="A715" t="s">
        <v>148</v>
      </c>
      <c r="B715" t="s">
        <v>120</v>
      </c>
      <c r="C715">
        <v>2023</v>
      </c>
      <c r="D715" s="4">
        <v>430.82</v>
      </c>
      <c r="E715" s="26">
        <v>44951</v>
      </c>
      <c r="F715" s="5"/>
    </row>
    <row r="716" spans="1:6" x14ac:dyDescent="0.3">
      <c r="A716" t="s">
        <v>154</v>
      </c>
      <c r="B716" t="s">
        <v>128</v>
      </c>
      <c r="C716">
        <v>2024</v>
      </c>
      <c r="D716" s="4">
        <v>436.57</v>
      </c>
      <c r="E716" s="26">
        <v>45514</v>
      </c>
      <c r="F716" s="5"/>
    </row>
    <row r="717" spans="1:6" x14ac:dyDescent="0.3">
      <c r="A717" t="s">
        <v>144</v>
      </c>
      <c r="B717" t="s">
        <v>116</v>
      </c>
      <c r="C717">
        <v>2024</v>
      </c>
      <c r="D717" s="4">
        <v>1676.83</v>
      </c>
      <c r="E717" s="26">
        <v>45294</v>
      </c>
      <c r="F717" s="5"/>
    </row>
    <row r="718" spans="1:6" x14ac:dyDescent="0.3">
      <c r="A718" t="s">
        <v>142</v>
      </c>
      <c r="B718" t="s">
        <v>120</v>
      </c>
      <c r="C718">
        <v>2025</v>
      </c>
      <c r="D718" s="4">
        <v>2254.79</v>
      </c>
      <c r="E718" s="26">
        <v>46000</v>
      </c>
      <c r="F718" s="5"/>
    </row>
    <row r="719" spans="1:6" x14ac:dyDescent="0.3">
      <c r="A719" t="s">
        <v>118</v>
      </c>
      <c r="B719" t="s">
        <v>116</v>
      </c>
      <c r="C719">
        <v>2025</v>
      </c>
      <c r="D719" s="4">
        <v>3683.37</v>
      </c>
      <c r="E719" s="26">
        <v>46005</v>
      </c>
      <c r="F719" s="5"/>
    </row>
    <row r="720" spans="1:6" x14ac:dyDescent="0.3">
      <c r="A720" t="s">
        <v>139</v>
      </c>
      <c r="B720" t="s">
        <v>120</v>
      </c>
      <c r="C720">
        <v>2024</v>
      </c>
      <c r="D720" s="4">
        <v>11170.12</v>
      </c>
      <c r="E720" s="26">
        <v>45474</v>
      </c>
      <c r="F720" s="5"/>
    </row>
    <row r="721" spans="1:6" x14ac:dyDescent="0.3">
      <c r="A721" t="s">
        <v>158</v>
      </c>
      <c r="B721" t="s">
        <v>120</v>
      </c>
      <c r="C721">
        <v>2025</v>
      </c>
      <c r="D721" s="4">
        <v>13438.31</v>
      </c>
      <c r="E721" s="26">
        <v>45691</v>
      </c>
      <c r="F721" s="5"/>
    </row>
    <row r="722" spans="1:6" x14ac:dyDescent="0.3">
      <c r="A722" t="s">
        <v>129</v>
      </c>
      <c r="B722" t="s">
        <v>120</v>
      </c>
      <c r="C722">
        <v>2024</v>
      </c>
      <c r="D722" s="4">
        <v>13865.22</v>
      </c>
      <c r="E722" s="26">
        <v>45425</v>
      </c>
      <c r="F722" s="5"/>
    </row>
    <row r="723" spans="1:6" x14ac:dyDescent="0.3">
      <c r="A723" t="s">
        <v>147</v>
      </c>
      <c r="B723" t="s">
        <v>120</v>
      </c>
      <c r="C723">
        <v>2024</v>
      </c>
      <c r="D723" s="4">
        <v>9639.77</v>
      </c>
      <c r="E723" s="26">
        <v>45541</v>
      </c>
      <c r="F723" s="5"/>
    </row>
    <row r="724" spans="1:6" x14ac:dyDescent="0.3">
      <c r="A724" t="s">
        <v>158</v>
      </c>
      <c r="B724" t="s">
        <v>120</v>
      </c>
      <c r="C724">
        <v>2023</v>
      </c>
      <c r="D724" s="4">
        <v>1490.31</v>
      </c>
      <c r="E724" s="26">
        <v>44991</v>
      </c>
      <c r="F724" s="5"/>
    </row>
    <row r="725" spans="1:6" x14ac:dyDescent="0.3">
      <c r="A725" t="s">
        <v>127</v>
      </c>
      <c r="B725" t="s">
        <v>128</v>
      </c>
      <c r="C725">
        <v>2025</v>
      </c>
      <c r="D725" s="4">
        <v>7827.28</v>
      </c>
      <c r="E725" s="26">
        <v>45699</v>
      </c>
      <c r="F725" s="5"/>
    </row>
    <row r="726" spans="1:6" x14ac:dyDescent="0.3">
      <c r="A726" t="s">
        <v>115</v>
      </c>
      <c r="B726" t="s">
        <v>116</v>
      </c>
      <c r="C726">
        <v>2023</v>
      </c>
      <c r="D726" s="4">
        <v>9899.26</v>
      </c>
      <c r="E726" s="26">
        <v>44946</v>
      </c>
      <c r="F726" s="5"/>
    </row>
    <row r="727" spans="1:6" x14ac:dyDescent="0.3">
      <c r="A727" t="s">
        <v>158</v>
      </c>
      <c r="B727" t="s">
        <v>120</v>
      </c>
      <c r="C727">
        <v>2025</v>
      </c>
      <c r="D727" s="4">
        <v>11865.55</v>
      </c>
      <c r="E727" s="26">
        <v>45950</v>
      </c>
      <c r="F727" s="5"/>
    </row>
    <row r="728" spans="1:6" x14ac:dyDescent="0.3">
      <c r="A728" t="s">
        <v>117</v>
      </c>
      <c r="B728" t="s">
        <v>116</v>
      </c>
      <c r="C728">
        <v>2023</v>
      </c>
      <c r="D728" s="4">
        <v>12548.12</v>
      </c>
      <c r="E728" s="26">
        <v>45122</v>
      </c>
      <c r="F728" s="5"/>
    </row>
    <row r="729" spans="1:6" x14ac:dyDescent="0.3">
      <c r="A729" t="s">
        <v>134</v>
      </c>
      <c r="B729" t="s">
        <v>120</v>
      </c>
      <c r="C729">
        <v>2024</v>
      </c>
      <c r="D729" s="4">
        <v>3117.56</v>
      </c>
      <c r="E729" s="26">
        <v>45397</v>
      </c>
      <c r="F729" s="5"/>
    </row>
    <row r="730" spans="1:6" x14ac:dyDescent="0.3">
      <c r="A730" t="s">
        <v>133</v>
      </c>
      <c r="B730" t="s">
        <v>128</v>
      </c>
      <c r="C730">
        <v>2025</v>
      </c>
      <c r="D730" s="4">
        <v>3941.11</v>
      </c>
      <c r="E730" s="26">
        <v>45900</v>
      </c>
      <c r="F730" s="5"/>
    </row>
    <row r="731" spans="1:6" x14ac:dyDescent="0.3">
      <c r="A731" t="s">
        <v>121</v>
      </c>
      <c r="B731" t="s">
        <v>122</v>
      </c>
      <c r="C731">
        <v>2024</v>
      </c>
      <c r="D731" s="4">
        <v>12610.5</v>
      </c>
      <c r="E731" s="26">
        <v>45501</v>
      </c>
      <c r="F731" s="5"/>
    </row>
    <row r="732" spans="1:6" x14ac:dyDescent="0.3">
      <c r="A732" t="s">
        <v>133</v>
      </c>
      <c r="B732" t="s">
        <v>128</v>
      </c>
      <c r="C732">
        <v>2023</v>
      </c>
      <c r="D732" s="4">
        <v>2675.09</v>
      </c>
      <c r="E732" s="26">
        <v>44994</v>
      </c>
      <c r="F732" s="5"/>
    </row>
    <row r="733" spans="1:6" x14ac:dyDescent="0.3">
      <c r="A733" t="s">
        <v>136</v>
      </c>
      <c r="B733" t="s">
        <v>120</v>
      </c>
      <c r="C733">
        <v>2023</v>
      </c>
      <c r="D733" s="4">
        <v>13468.27</v>
      </c>
      <c r="E733" s="26">
        <v>44959</v>
      </c>
      <c r="F733" s="5"/>
    </row>
    <row r="734" spans="1:6" x14ac:dyDescent="0.3">
      <c r="A734" t="s">
        <v>131</v>
      </c>
      <c r="B734" t="s">
        <v>122</v>
      </c>
      <c r="C734">
        <v>2023</v>
      </c>
      <c r="D734" s="4">
        <v>10581.11</v>
      </c>
      <c r="E734" s="26">
        <v>45222</v>
      </c>
      <c r="F734" s="5"/>
    </row>
    <row r="735" spans="1:6" x14ac:dyDescent="0.3">
      <c r="A735" t="s">
        <v>155</v>
      </c>
      <c r="B735" t="s">
        <v>128</v>
      </c>
      <c r="C735">
        <v>2023</v>
      </c>
      <c r="D735" s="4">
        <v>4330.0200000000004</v>
      </c>
      <c r="E735" s="26">
        <v>45084</v>
      </c>
      <c r="F735" s="5"/>
    </row>
    <row r="736" spans="1:6" x14ac:dyDescent="0.3">
      <c r="A736" t="s">
        <v>133</v>
      </c>
      <c r="B736" t="s">
        <v>128</v>
      </c>
      <c r="C736">
        <v>2024</v>
      </c>
      <c r="D736" s="4">
        <v>8020.4</v>
      </c>
      <c r="E736" s="26">
        <v>45419</v>
      </c>
      <c r="F736" s="5"/>
    </row>
    <row r="737" spans="1:6" x14ac:dyDescent="0.3">
      <c r="A737" t="s">
        <v>127</v>
      </c>
      <c r="B737" t="s">
        <v>128</v>
      </c>
      <c r="C737">
        <v>2024</v>
      </c>
      <c r="D737" s="4">
        <v>5497.08</v>
      </c>
      <c r="E737" s="26">
        <v>45606</v>
      </c>
      <c r="F737" s="5"/>
    </row>
    <row r="738" spans="1:6" x14ac:dyDescent="0.3">
      <c r="A738" t="s">
        <v>137</v>
      </c>
      <c r="B738" t="s">
        <v>128</v>
      </c>
      <c r="C738">
        <v>2023</v>
      </c>
      <c r="D738" s="4">
        <v>7110.94</v>
      </c>
      <c r="E738" s="26">
        <v>45087</v>
      </c>
      <c r="F738" s="5"/>
    </row>
    <row r="739" spans="1:6" x14ac:dyDescent="0.3">
      <c r="A739" t="s">
        <v>139</v>
      </c>
      <c r="B739" t="s">
        <v>120</v>
      </c>
      <c r="C739">
        <v>2023</v>
      </c>
      <c r="D739" s="4">
        <v>1548.06</v>
      </c>
      <c r="E739" s="26">
        <v>45036</v>
      </c>
      <c r="F739" s="5"/>
    </row>
    <row r="740" spans="1:6" x14ac:dyDescent="0.3">
      <c r="A740" t="s">
        <v>147</v>
      </c>
      <c r="B740" t="s">
        <v>120</v>
      </c>
      <c r="C740">
        <v>2023</v>
      </c>
      <c r="D740" s="4">
        <v>4900.18</v>
      </c>
      <c r="E740" s="26">
        <v>45082</v>
      </c>
      <c r="F740" s="5"/>
    </row>
    <row r="741" spans="1:6" x14ac:dyDescent="0.3">
      <c r="A741" t="s">
        <v>153</v>
      </c>
      <c r="B741" t="s">
        <v>122</v>
      </c>
      <c r="C741">
        <v>2025</v>
      </c>
      <c r="D741" s="4">
        <v>13571.1</v>
      </c>
      <c r="E741" s="26">
        <v>45739</v>
      </c>
      <c r="F741" s="5"/>
    </row>
    <row r="742" spans="1:6" x14ac:dyDescent="0.3">
      <c r="A742" t="s">
        <v>136</v>
      </c>
      <c r="B742" t="s">
        <v>120</v>
      </c>
      <c r="C742">
        <v>2023</v>
      </c>
      <c r="D742" s="4">
        <v>8950.9</v>
      </c>
      <c r="E742" s="26">
        <v>44987</v>
      </c>
      <c r="F742" s="5"/>
    </row>
    <row r="743" spans="1:6" x14ac:dyDescent="0.3">
      <c r="A743" t="s">
        <v>151</v>
      </c>
      <c r="B743" t="s">
        <v>120</v>
      </c>
      <c r="C743">
        <v>2025</v>
      </c>
      <c r="D743" s="4">
        <v>3348.31</v>
      </c>
      <c r="E743" s="26">
        <v>45931</v>
      </c>
      <c r="F743" s="5"/>
    </row>
    <row r="744" spans="1:6" x14ac:dyDescent="0.3">
      <c r="A744" t="s">
        <v>123</v>
      </c>
      <c r="B744" t="s">
        <v>120</v>
      </c>
      <c r="C744">
        <v>2025</v>
      </c>
      <c r="D744" s="4">
        <v>6159.5</v>
      </c>
      <c r="E744" s="26">
        <v>45695</v>
      </c>
      <c r="F744" s="5"/>
    </row>
    <row r="745" spans="1:6" x14ac:dyDescent="0.3">
      <c r="A745" t="s">
        <v>131</v>
      </c>
      <c r="B745" t="s">
        <v>122</v>
      </c>
      <c r="C745">
        <v>2025</v>
      </c>
      <c r="D745" s="4">
        <v>1382.58</v>
      </c>
      <c r="E745" s="26">
        <v>45705</v>
      </c>
      <c r="F745" s="5"/>
    </row>
    <row r="746" spans="1:6" x14ac:dyDescent="0.3">
      <c r="A746" t="s">
        <v>153</v>
      </c>
      <c r="B746" t="s">
        <v>122</v>
      </c>
      <c r="C746">
        <v>2024</v>
      </c>
      <c r="D746" s="4">
        <v>11213.16</v>
      </c>
      <c r="E746" s="26">
        <v>45531</v>
      </c>
      <c r="F746" s="5"/>
    </row>
    <row r="747" spans="1:6" x14ac:dyDescent="0.3">
      <c r="A747" t="s">
        <v>121</v>
      </c>
      <c r="B747" t="s">
        <v>122</v>
      </c>
      <c r="C747">
        <v>2023</v>
      </c>
      <c r="D747" s="4">
        <v>3898.01</v>
      </c>
      <c r="E747" s="26">
        <v>45095</v>
      </c>
      <c r="F747" s="5"/>
    </row>
    <row r="748" spans="1:6" x14ac:dyDescent="0.3">
      <c r="A748" t="s">
        <v>127</v>
      </c>
      <c r="B748" t="s">
        <v>128</v>
      </c>
      <c r="C748">
        <v>2023</v>
      </c>
      <c r="D748" s="4">
        <v>10407.24</v>
      </c>
      <c r="E748" s="26">
        <v>45242</v>
      </c>
      <c r="F748" s="5"/>
    </row>
    <row r="749" spans="1:6" x14ac:dyDescent="0.3">
      <c r="A749" t="s">
        <v>136</v>
      </c>
      <c r="B749" t="s">
        <v>120</v>
      </c>
      <c r="C749">
        <v>2025</v>
      </c>
      <c r="D749" s="4">
        <v>1670.4</v>
      </c>
      <c r="E749" s="26">
        <v>45665</v>
      </c>
      <c r="F749" s="5"/>
    </row>
    <row r="750" spans="1:6" x14ac:dyDescent="0.3">
      <c r="A750" t="s">
        <v>150</v>
      </c>
      <c r="B750" t="s">
        <v>116</v>
      </c>
      <c r="C750">
        <v>2024</v>
      </c>
      <c r="D750" s="4">
        <v>6337.35</v>
      </c>
      <c r="E750" s="26">
        <v>45558</v>
      </c>
      <c r="F750" s="5"/>
    </row>
    <row r="751" spans="1:6" x14ac:dyDescent="0.3">
      <c r="A751" t="s">
        <v>154</v>
      </c>
      <c r="B751" t="s">
        <v>128</v>
      </c>
      <c r="C751">
        <v>2023</v>
      </c>
      <c r="D751" s="4">
        <v>2028.6</v>
      </c>
      <c r="E751" s="26">
        <v>45136</v>
      </c>
      <c r="F751" s="5"/>
    </row>
    <row r="752" spans="1:6" x14ac:dyDescent="0.3">
      <c r="A752" t="s">
        <v>119</v>
      </c>
      <c r="B752" t="s">
        <v>120</v>
      </c>
      <c r="C752">
        <v>2025</v>
      </c>
      <c r="D752" s="4">
        <v>6394.04</v>
      </c>
      <c r="E752" s="26">
        <v>45809</v>
      </c>
      <c r="F752" s="5"/>
    </row>
    <row r="753" spans="1:6" x14ac:dyDescent="0.3">
      <c r="A753" t="s">
        <v>123</v>
      </c>
      <c r="B753" t="s">
        <v>120</v>
      </c>
      <c r="C753">
        <v>2025</v>
      </c>
      <c r="D753" s="4">
        <v>5831.01</v>
      </c>
      <c r="E753" s="26">
        <v>45976</v>
      </c>
      <c r="F753" s="5"/>
    </row>
    <row r="754" spans="1:6" x14ac:dyDescent="0.3">
      <c r="A754" t="s">
        <v>159</v>
      </c>
      <c r="B754" t="s">
        <v>116</v>
      </c>
      <c r="C754">
        <v>2023</v>
      </c>
      <c r="D754" s="4">
        <v>5084.0200000000004</v>
      </c>
      <c r="E754" s="26">
        <v>45110</v>
      </c>
      <c r="F754" s="5"/>
    </row>
    <row r="755" spans="1:6" x14ac:dyDescent="0.3">
      <c r="A755" t="s">
        <v>158</v>
      </c>
      <c r="B755" t="s">
        <v>120</v>
      </c>
      <c r="C755">
        <v>2024</v>
      </c>
      <c r="D755" s="4">
        <v>12119.31</v>
      </c>
      <c r="E755" s="26">
        <v>45591</v>
      </c>
      <c r="F755" s="5"/>
    </row>
    <row r="756" spans="1:6" x14ac:dyDescent="0.3">
      <c r="A756" t="s">
        <v>150</v>
      </c>
      <c r="B756" t="s">
        <v>116</v>
      </c>
      <c r="C756">
        <v>2024</v>
      </c>
      <c r="D756" s="4">
        <v>5910.58</v>
      </c>
      <c r="E756" s="26">
        <v>45524</v>
      </c>
      <c r="F756" s="5"/>
    </row>
    <row r="757" spans="1:6" x14ac:dyDescent="0.3">
      <c r="A757" t="s">
        <v>158</v>
      </c>
      <c r="B757" t="s">
        <v>120</v>
      </c>
      <c r="C757">
        <v>2024</v>
      </c>
      <c r="D757" s="4">
        <v>8093.05</v>
      </c>
      <c r="E757" s="26">
        <v>45424</v>
      </c>
      <c r="F757" s="5"/>
    </row>
    <row r="758" spans="1:6" x14ac:dyDescent="0.3">
      <c r="A758" t="s">
        <v>152</v>
      </c>
      <c r="B758" t="s">
        <v>116</v>
      </c>
      <c r="C758">
        <v>2025</v>
      </c>
      <c r="D758" s="4">
        <v>2539.12</v>
      </c>
      <c r="E758" s="26">
        <v>45706</v>
      </c>
      <c r="F758" s="5"/>
    </row>
    <row r="759" spans="1:6" x14ac:dyDescent="0.3">
      <c r="A759" t="s">
        <v>154</v>
      </c>
      <c r="B759" t="s">
        <v>128</v>
      </c>
      <c r="C759">
        <v>2024</v>
      </c>
      <c r="D759" s="4">
        <v>3904.01</v>
      </c>
      <c r="E759" s="26">
        <v>45543</v>
      </c>
      <c r="F759" s="5"/>
    </row>
    <row r="760" spans="1:6" x14ac:dyDescent="0.3">
      <c r="A760" t="s">
        <v>146</v>
      </c>
      <c r="B760" t="s">
        <v>128</v>
      </c>
      <c r="C760">
        <v>2023</v>
      </c>
      <c r="D760" s="4">
        <v>2507.46</v>
      </c>
      <c r="E760" s="26">
        <v>45056</v>
      </c>
      <c r="F760" s="5"/>
    </row>
    <row r="761" spans="1:6" x14ac:dyDescent="0.3">
      <c r="A761" t="s">
        <v>154</v>
      </c>
      <c r="B761" t="s">
        <v>128</v>
      </c>
      <c r="C761">
        <v>2025</v>
      </c>
      <c r="D761" s="4">
        <v>4336.58</v>
      </c>
      <c r="E761" s="26">
        <v>45789</v>
      </c>
      <c r="F761" s="5"/>
    </row>
    <row r="762" spans="1:6" x14ac:dyDescent="0.3">
      <c r="A762" t="s">
        <v>121</v>
      </c>
      <c r="B762" t="s">
        <v>122</v>
      </c>
      <c r="C762">
        <v>2025</v>
      </c>
      <c r="D762" s="4">
        <v>3673.46</v>
      </c>
      <c r="E762" s="26">
        <v>45666</v>
      </c>
      <c r="F762" s="5"/>
    </row>
    <row r="763" spans="1:6" x14ac:dyDescent="0.3">
      <c r="A763" t="s">
        <v>125</v>
      </c>
      <c r="B763" t="s">
        <v>122</v>
      </c>
      <c r="C763">
        <v>2025</v>
      </c>
      <c r="D763" s="4">
        <v>8394.5300000000007</v>
      </c>
      <c r="E763" s="26">
        <v>45942</v>
      </c>
      <c r="F763" s="5"/>
    </row>
    <row r="764" spans="1:6" x14ac:dyDescent="0.3">
      <c r="A764" t="s">
        <v>118</v>
      </c>
      <c r="B764" t="s">
        <v>116</v>
      </c>
      <c r="C764">
        <v>2025</v>
      </c>
      <c r="D764" s="4">
        <v>1676.22</v>
      </c>
      <c r="E764" s="26">
        <v>45864</v>
      </c>
      <c r="F764" s="5"/>
    </row>
    <row r="765" spans="1:6" x14ac:dyDescent="0.3">
      <c r="A765" t="s">
        <v>149</v>
      </c>
      <c r="B765" t="s">
        <v>122</v>
      </c>
      <c r="C765">
        <v>2023</v>
      </c>
      <c r="D765" s="4">
        <v>13293.76</v>
      </c>
      <c r="E765" s="26">
        <v>44940</v>
      </c>
      <c r="F765" s="5"/>
    </row>
    <row r="766" spans="1:6" x14ac:dyDescent="0.3">
      <c r="A766" t="s">
        <v>117</v>
      </c>
      <c r="B766" t="s">
        <v>116</v>
      </c>
      <c r="C766">
        <v>2025</v>
      </c>
      <c r="D766" s="4">
        <v>11296.26</v>
      </c>
      <c r="E766" s="26">
        <v>45705</v>
      </c>
      <c r="F766" s="5"/>
    </row>
    <row r="767" spans="1:6" x14ac:dyDescent="0.3">
      <c r="A767" t="s">
        <v>117</v>
      </c>
      <c r="B767" t="s">
        <v>116</v>
      </c>
      <c r="C767">
        <v>2025</v>
      </c>
      <c r="D767" s="4">
        <v>4819.3599999999997</v>
      </c>
      <c r="E767" s="26">
        <v>45828</v>
      </c>
      <c r="F767" s="5"/>
    </row>
    <row r="768" spans="1:6" x14ac:dyDescent="0.3">
      <c r="A768" t="s">
        <v>143</v>
      </c>
      <c r="B768" t="s">
        <v>122</v>
      </c>
      <c r="C768">
        <v>2023</v>
      </c>
      <c r="D768" s="4">
        <v>4346.01</v>
      </c>
      <c r="E768" s="26">
        <v>45205</v>
      </c>
      <c r="F768" s="5"/>
    </row>
    <row r="769" spans="1:6" x14ac:dyDescent="0.3">
      <c r="A769" t="s">
        <v>143</v>
      </c>
      <c r="B769" t="s">
        <v>122</v>
      </c>
      <c r="C769">
        <v>2024</v>
      </c>
      <c r="D769" s="4">
        <v>6810.33</v>
      </c>
      <c r="E769" s="26">
        <v>45338</v>
      </c>
      <c r="F769" s="5"/>
    </row>
    <row r="770" spans="1:6" x14ac:dyDescent="0.3">
      <c r="A770" t="s">
        <v>119</v>
      </c>
      <c r="B770" t="s">
        <v>120</v>
      </c>
      <c r="C770">
        <v>2025</v>
      </c>
      <c r="D770" s="4">
        <v>13568.41</v>
      </c>
      <c r="E770" s="26">
        <v>45742</v>
      </c>
      <c r="F770" s="5"/>
    </row>
    <row r="771" spans="1:6" x14ac:dyDescent="0.3">
      <c r="A771" t="s">
        <v>130</v>
      </c>
      <c r="B771" t="s">
        <v>116</v>
      </c>
      <c r="C771">
        <v>2025</v>
      </c>
      <c r="D771" s="4">
        <v>13555.13</v>
      </c>
      <c r="E771" s="26">
        <v>45932</v>
      </c>
      <c r="F771" s="5"/>
    </row>
    <row r="772" spans="1:6" x14ac:dyDescent="0.3">
      <c r="A772" t="s">
        <v>125</v>
      </c>
      <c r="B772" t="s">
        <v>122</v>
      </c>
      <c r="C772">
        <v>2024</v>
      </c>
      <c r="D772" s="4">
        <v>5389.56</v>
      </c>
      <c r="E772" s="26">
        <v>45594</v>
      </c>
      <c r="F772" s="5"/>
    </row>
    <row r="773" spans="1:6" x14ac:dyDescent="0.3">
      <c r="A773" t="s">
        <v>155</v>
      </c>
      <c r="B773" t="s">
        <v>128</v>
      </c>
      <c r="C773">
        <v>2025</v>
      </c>
      <c r="D773" s="4">
        <v>1771.65</v>
      </c>
      <c r="E773" s="26">
        <v>45674</v>
      </c>
      <c r="F773" s="5"/>
    </row>
    <row r="774" spans="1:6" x14ac:dyDescent="0.3">
      <c r="A774" t="s">
        <v>133</v>
      </c>
      <c r="B774" t="s">
        <v>128</v>
      </c>
      <c r="C774">
        <v>2024</v>
      </c>
      <c r="D774" s="4">
        <v>8372.73</v>
      </c>
      <c r="E774" s="26">
        <v>45336</v>
      </c>
      <c r="F774" s="5"/>
    </row>
    <row r="775" spans="1:6" x14ac:dyDescent="0.3">
      <c r="A775" t="s">
        <v>124</v>
      </c>
      <c r="B775" t="s">
        <v>120</v>
      </c>
      <c r="C775">
        <v>2024</v>
      </c>
      <c r="D775" s="4">
        <v>9607.6299999999992</v>
      </c>
      <c r="E775" s="26">
        <v>45295</v>
      </c>
      <c r="F775" s="5"/>
    </row>
    <row r="776" spans="1:6" x14ac:dyDescent="0.3">
      <c r="A776" t="s">
        <v>123</v>
      </c>
      <c r="B776" t="s">
        <v>120</v>
      </c>
      <c r="C776">
        <v>2023</v>
      </c>
      <c r="D776" s="4">
        <v>13351.46</v>
      </c>
      <c r="E776" s="26">
        <v>44982</v>
      </c>
      <c r="F776" s="5"/>
    </row>
    <row r="777" spans="1:6" x14ac:dyDescent="0.3">
      <c r="A777" t="s">
        <v>129</v>
      </c>
      <c r="B777" t="s">
        <v>120</v>
      </c>
      <c r="C777">
        <v>2024</v>
      </c>
      <c r="D777" s="4">
        <v>6250.68</v>
      </c>
      <c r="E777" s="26">
        <v>45356</v>
      </c>
      <c r="F777" s="5"/>
    </row>
    <row r="778" spans="1:6" x14ac:dyDescent="0.3">
      <c r="A778" t="s">
        <v>130</v>
      </c>
      <c r="B778" t="s">
        <v>116</v>
      </c>
      <c r="C778">
        <v>2023</v>
      </c>
      <c r="D778" s="4">
        <v>11501.72</v>
      </c>
      <c r="E778" s="26">
        <v>45068</v>
      </c>
      <c r="F778" s="5"/>
    </row>
    <row r="779" spans="1:6" x14ac:dyDescent="0.3">
      <c r="A779" t="s">
        <v>148</v>
      </c>
      <c r="B779" t="s">
        <v>120</v>
      </c>
      <c r="C779">
        <v>2025</v>
      </c>
      <c r="D779" s="4">
        <v>2120.67</v>
      </c>
      <c r="E779" s="26">
        <v>45949</v>
      </c>
      <c r="F779" s="5"/>
    </row>
    <row r="780" spans="1:6" x14ac:dyDescent="0.3">
      <c r="A780" t="s">
        <v>149</v>
      </c>
      <c r="B780" t="s">
        <v>122</v>
      </c>
      <c r="C780">
        <v>2024</v>
      </c>
      <c r="D780" s="4">
        <v>3687.01</v>
      </c>
      <c r="E780" s="26">
        <v>45422</v>
      </c>
      <c r="F780" s="5"/>
    </row>
    <row r="781" spans="1:6" x14ac:dyDescent="0.3">
      <c r="A781" t="s">
        <v>146</v>
      </c>
      <c r="B781" t="s">
        <v>128</v>
      </c>
      <c r="C781">
        <v>2025</v>
      </c>
      <c r="D781" s="4">
        <v>11089.26</v>
      </c>
      <c r="E781" s="26">
        <v>45793</v>
      </c>
      <c r="F781" s="5"/>
    </row>
    <row r="782" spans="1:6" x14ac:dyDescent="0.3">
      <c r="A782" t="s">
        <v>121</v>
      </c>
      <c r="B782" t="s">
        <v>122</v>
      </c>
      <c r="C782">
        <v>2025</v>
      </c>
      <c r="D782" s="4">
        <v>13871.67</v>
      </c>
      <c r="E782" s="26">
        <v>45846</v>
      </c>
      <c r="F782" s="5"/>
    </row>
    <row r="783" spans="1:6" x14ac:dyDescent="0.3">
      <c r="A783" t="s">
        <v>126</v>
      </c>
      <c r="B783" t="s">
        <v>116</v>
      </c>
      <c r="C783">
        <v>2025</v>
      </c>
      <c r="D783" s="4">
        <v>7574.27</v>
      </c>
      <c r="E783" s="26">
        <v>45747</v>
      </c>
      <c r="F783" s="5"/>
    </row>
    <row r="784" spans="1:6" x14ac:dyDescent="0.3">
      <c r="A784" t="s">
        <v>148</v>
      </c>
      <c r="B784" t="s">
        <v>120</v>
      </c>
      <c r="C784">
        <v>2023</v>
      </c>
      <c r="D784" s="4">
        <v>11111.95</v>
      </c>
      <c r="E784" s="26">
        <v>45002</v>
      </c>
      <c r="F784" s="5"/>
    </row>
    <row r="785" spans="1:6" x14ac:dyDescent="0.3">
      <c r="A785" t="s">
        <v>140</v>
      </c>
      <c r="B785" t="s">
        <v>128</v>
      </c>
      <c r="C785">
        <v>2023</v>
      </c>
      <c r="D785" s="4">
        <v>1709.3</v>
      </c>
      <c r="E785" s="26">
        <v>45101</v>
      </c>
      <c r="F785" s="5"/>
    </row>
    <row r="786" spans="1:6" x14ac:dyDescent="0.3">
      <c r="A786" t="s">
        <v>125</v>
      </c>
      <c r="B786" t="s">
        <v>122</v>
      </c>
      <c r="C786">
        <v>2024</v>
      </c>
      <c r="D786" s="4">
        <v>2495.4699999999998</v>
      </c>
      <c r="E786" s="26">
        <v>45654</v>
      </c>
      <c r="F786" s="5"/>
    </row>
    <row r="787" spans="1:6" x14ac:dyDescent="0.3">
      <c r="A787" t="s">
        <v>153</v>
      </c>
      <c r="B787" t="s">
        <v>122</v>
      </c>
      <c r="C787">
        <v>2023</v>
      </c>
      <c r="D787" s="4">
        <v>7972.44</v>
      </c>
      <c r="E787" s="26">
        <v>45017</v>
      </c>
      <c r="F787" s="5"/>
    </row>
    <row r="788" spans="1:6" x14ac:dyDescent="0.3">
      <c r="A788" t="s">
        <v>155</v>
      </c>
      <c r="B788" t="s">
        <v>128</v>
      </c>
      <c r="C788">
        <v>2024</v>
      </c>
      <c r="D788" s="4">
        <v>13526.89</v>
      </c>
      <c r="E788" s="26">
        <v>45606</v>
      </c>
      <c r="F788" s="5"/>
    </row>
    <row r="789" spans="1:6" x14ac:dyDescent="0.3">
      <c r="A789" t="s">
        <v>144</v>
      </c>
      <c r="B789" t="s">
        <v>116</v>
      </c>
      <c r="C789">
        <v>2023</v>
      </c>
      <c r="D789" s="4">
        <v>345.56</v>
      </c>
      <c r="E789" s="26">
        <v>45143</v>
      </c>
      <c r="F789" s="5"/>
    </row>
    <row r="790" spans="1:6" x14ac:dyDescent="0.3">
      <c r="A790" t="s">
        <v>135</v>
      </c>
      <c r="B790" t="s">
        <v>116</v>
      </c>
      <c r="C790">
        <v>2024</v>
      </c>
      <c r="D790" s="4">
        <v>7247.33</v>
      </c>
      <c r="E790" s="26">
        <v>45381</v>
      </c>
      <c r="F790" s="5"/>
    </row>
    <row r="791" spans="1:6" x14ac:dyDescent="0.3">
      <c r="A791" t="s">
        <v>141</v>
      </c>
      <c r="B791" t="s">
        <v>116</v>
      </c>
      <c r="C791">
        <v>2024</v>
      </c>
      <c r="D791" s="4">
        <v>6351.74</v>
      </c>
      <c r="E791" s="26">
        <v>45379</v>
      </c>
      <c r="F791" s="5"/>
    </row>
    <row r="792" spans="1:6" x14ac:dyDescent="0.3">
      <c r="A792" t="s">
        <v>155</v>
      </c>
      <c r="B792" t="s">
        <v>128</v>
      </c>
      <c r="C792">
        <v>2025</v>
      </c>
      <c r="D792" s="4">
        <v>10858.32</v>
      </c>
      <c r="E792" s="26">
        <v>45875</v>
      </c>
      <c r="F792" s="5"/>
    </row>
    <row r="793" spans="1:6" x14ac:dyDescent="0.3">
      <c r="A793" t="s">
        <v>131</v>
      </c>
      <c r="B793" t="s">
        <v>122</v>
      </c>
      <c r="C793">
        <v>2025</v>
      </c>
      <c r="D793" s="4">
        <v>2280.2800000000002</v>
      </c>
      <c r="E793" s="26">
        <v>45951</v>
      </c>
      <c r="F793" s="5"/>
    </row>
    <row r="794" spans="1:6" x14ac:dyDescent="0.3">
      <c r="A794" t="s">
        <v>159</v>
      </c>
      <c r="B794" t="s">
        <v>116</v>
      </c>
      <c r="C794">
        <v>2025</v>
      </c>
      <c r="D794" s="4">
        <v>1642.78</v>
      </c>
      <c r="E794" s="26">
        <v>45915</v>
      </c>
      <c r="F794" s="5"/>
    </row>
    <row r="795" spans="1:6" x14ac:dyDescent="0.3">
      <c r="A795" t="s">
        <v>148</v>
      </c>
      <c r="B795" t="s">
        <v>120</v>
      </c>
      <c r="C795">
        <v>2023</v>
      </c>
      <c r="D795" s="4">
        <v>1801.76</v>
      </c>
      <c r="E795" s="26">
        <v>45102</v>
      </c>
      <c r="F795" s="5"/>
    </row>
    <row r="796" spans="1:6" x14ac:dyDescent="0.3">
      <c r="A796" t="s">
        <v>146</v>
      </c>
      <c r="B796" t="s">
        <v>128</v>
      </c>
      <c r="C796">
        <v>2024</v>
      </c>
      <c r="D796" s="4">
        <v>4504.09</v>
      </c>
      <c r="E796" s="26">
        <v>45640</v>
      </c>
      <c r="F796" s="5"/>
    </row>
    <row r="797" spans="1:6" x14ac:dyDescent="0.3">
      <c r="A797" t="s">
        <v>129</v>
      </c>
      <c r="B797" t="s">
        <v>120</v>
      </c>
      <c r="C797">
        <v>2024</v>
      </c>
      <c r="D797" s="4">
        <v>7391.38</v>
      </c>
      <c r="E797" s="26">
        <v>45350</v>
      </c>
      <c r="F797" s="5"/>
    </row>
    <row r="798" spans="1:6" x14ac:dyDescent="0.3">
      <c r="A798" t="s">
        <v>139</v>
      </c>
      <c r="B798" t="s">
        <v>120</v>
      </c>
      <c r="C798">
        <v>2025</v>
      </c>
      <c r="D798" s="4">
        <v>1547.2</v>
      </c>
      <c r="E798" s="26">
        <v>45902</v>
      </c>
      <c r="F798" s="5"/>
    </row>
    <row r="799" spans="1:6" x14ac:dyDescent="0.3">
      <c r="A799" t="s">
        <v>151</v>
      </c>
      <c r="B799" t="s">
        <v>120</v>
      </c>
      <c r="C799">
        <v>2024</v>
      </c>
      <c r="D799" s="4">
        <v>1127.01</v>
      </c>
      <c r="E799" s="26">
        <v>45580</v>
      </c>
      <c r="F799" s="5"/>
    </row>
    <row r="800" spans="1:6" x14ac:dyDescent="0.3">
      <c r="A800" t="s">
        <v>134</v>
      </c>
      <c r="B800" t="s">
        <v>120</v>
      </c>
      <c r="C800">
        <v>2023</v>
      </c>
      <c r="D800" s="4">
        <v>511.67</v>
      </c>
      <c r="E800" s="26">
        <v>45162</v>
      </c>
      <c r="F800" s="5"/>
    </row>
    <row r="801" spans="1:6" x14ac:dyDescent="0.3">
      <c r="A801" t="s">
        <v>117</v>
      </c>
      <c r="B801" t="s">
        <v>116</v>
      </c>
      <c r="C801">
        <v>2023</v>
      </c>
      <c r="D801" s="4">
        <v>9544.52</v>
      </c>
      <c r="E801" s="26">
        <v>45150</v>
      </c>
      <c r="F801" s="5"/>
    </row>
    <row r="802" spans="1:6" x14ac:dyDescent="0.3">
      <c r="A802" t="s">
        <v>152</v>
      </c>
      <c r="B802" t="s">
        <v>116</v>
      </c>
      <c r="C802">
        <v>2024</v>
      </c>
      <c r="D802" s="4">
        <v>7320.72</v>
      </c>
      <c r="E802" s="26">
        <v>45426</v>
      </c>
      <c r="F802" s="5"/>
    </row>
    <row r="803" spans="1:6" x14ac:dyDescent="0.3">
      <c r="A803" t="s">
        <v>123</v>
      </c>
      <c r="B803" t="s">
        <v>120</v>
      </c>
      <c r="C803">
        <v>2023</v>
      </c>
      <c r="D803" s="4">
        <v>4767.66</v>
      </c>
      <c r="E803" s="26">
        <v>45254</v>
      </c>
      <c r="F803" s="5"/>
    </row>
    <row r="804" spans="1:6" x14ac:dyDescent="0.3">
      <c r="A804" t="s">
        <v>144</v>
      </c>
      <c r="B804" t="s">
        <v>116</v>
      </c>
      <c r="C804">
        <v>2025</v>
      </c>
      <c r="D804" s="4">
        <v>3399.61</v>
      </c>
      <c r="E804" s="26">
        <v>45873</v>
      </c>
      <c r="F804" s="5"/>
    </row>
    <row r="805" spans="1:6" x14ac:dyDescent="0.3">
      <c r="A805" t="s">
        <v>155</v>
      </c>
      <c r="B805" t="s">
        <v>128</v>
      </c>
      <c r="C805">
        <v>2024</v>
      </c>
      <c r="D805" s="4">
        <v>2772.14</v>
      </c>
      <c r="E805" s="26">
        <v>45304</v>
      </c>
      <c r="F805" s="5"/>
    </row>
    <row r="806" spans="1:6" x14ac:dyDescent="0.3">
      <c r="A806" t="s">
        <v>144</v>
      </c>
      <c r="B806" t="s">
        <v>116</v>
      </c>
      <c r="C806">
        <v>2025</v>
      </c>
      <c r="D806" s="4">
        <v>602.85</v>
      </c>
      <c r="E806" s="26">
        <v>45737</v>
      </c>
      <c r="F806" s="5"/>
    </row>
    <row r="807" spans="1:6" x14ac:dyDescent="0.3">
      <c r="A807" t="s">
        <v>153</v>
      </c>
      <c r="B807" t="s">
        <v>122</v>
      </c>
      <c r="C807">
        <v>2024</v>
      </c>
      <c r="D807" s="4">
        <v>6404.14</v>
      </c>
      <c r="E807" s="26">
        <v>45331</v>
      </c>
      <c r="F807" s="5"/>
    </row>
    <row r="808" spans="1:6" x14ac:dyDescent="0.3">
      <c r="A808" t="s">
        <v>144</v>
      </c>
      <c r="B808" t="s">
        <v>116</v>
      </c>
      <c r="C808">
        <v>2025</v>
      </c>
      <c r="D808" s="4">
        <v>261.41000000000003</v>
      </c>
      <c r="E808" s="26">
        <v>45723</v>
      </c>
      <c r="F808" s="5"/>
    </row>
    <row r="809" spans="1:6" x14ac:dyDescent="0.3">
      <c r="A809" t="s">
        <v>138</v>
      </c>
      <c r="B809" t="s">
        <v>122</v>
      </c>
      <c r="C809">
        <v>2024</v>
      </c>
      <c r="D809" s="4">
        <v>4041.16</v>
      </c>
      <c r="E809" s="26">
        <v>45348</v>
      </c>
      <c r="F809" s="5"/>
    </row>
    <row r="810" spans="1:6" x14ac:dyDescent="0.3">
      <c r="A810" t="s">
        <v>121</v>
      </c>
      <c r="B810" t="s">
        <v>122</v>
      </c>
      <c r="C810">
        <v>2023</v>
      </c>
      <c r="D810" s="4">
        <v>11233.13</v>
      </c>
      <c r="E810" s="26">
        <v>45135</v>
      </c>
      <c r="F810" s="5"/>
    </row>
    <row r="811" spans="1:6" x14ac:dyDescent="0.3">
      <c r="A811" t="s">
        <v>124</v>
      </c>
      <c r="B811" t="s">
        <v>120</v>
      </c>
      <c r="C811">
        <v>2024</v>
      </c>
      <c r="D811" s="4">
        <v>5247.94</v>
      </c>
      <c r="E811" s="26">
        <v>45309</v>
      </c>
      <c r="F811" s="5"/>
    </row>
    <row r="812" spans="1:6" x14ac:dyDescent="0.3">
      <c r="A812" t="s">
        <v>118</v>
      </c>
      <c r="B812" t="s">
        <v>116</v>
      </c>
      <c r="C812">
        <v>2025</v>
      </c>
      <c r="D812" s="4">
        <v>1772.58</v>
      </c>
      <c r="E812" s="26">
        <v>45864</v>
      </c>
      <c r="F812" s="5"/>
    </row>
    <row r="813" spans="1:6" x14ac:dyDescent="0.3">
      <c r="A813" t="s">
        <v>156</v>
      </c>
      <c r="B813" t="s">
        <v>128</v>
      </c>
      <c r="C813">
        <v>2025</v>
      </c>
      <c r="D813" s="4">
        <v>13529.65</v>
      </c>
      <c r="E813" s="26">
        <v>46007</v>
      </c>
      <c r="F813" s="5"/>
    </row>
    <row r="814" spans="1:6" x14ac:dyDescent="0.3">
      <c r="A814" t="s">
        <v>136</v>
      </c>
      <c r="B814" t="s">
        <v>120</v>
      </c>
      <c r="C814">
        <v>2025</v>
      </c>
      <c r="D814" s="4">
        <v>8636.06</v>
      </c>
      <c r="E814" s="26">
        <v>45722</v>
      </c>
      <c r="F814" s="5"/>
    </row>
    <row r="815" spans="1:6" x14ac:dyDescent="0.3">
      <c r="A815" t="s">
        <v>131</v>
      </c>
      <c r="B815" t="s">
        <v>122</v>
      </c>
      <c r="C815">
        <v>2023</v>
      </c>
      <c r="D815" s="4">
        <v>5001.3599999999997</v>
      </c>
      <c r="E815" s="26">
        <v>45160</v>
      </c>
      <c r="F815" s="5"/>
    </row>
    <row r="816" spans="1:6" x14ac:dyDescent="0.3">
      <c r="A816" t="s">
        <v>129</v>
      </c>
      <c r="B816" t="s">
        <v>120</v>
      </c>
      <c r="C816">
        <v>2023</v>
      </c>
      <c r="D816" s="4">
        <v>11429.59</v>
      </c>
      <c r="E816" s="26">
        <v>45280</v>
      </c>
      <c r="F816" s="5"/>
    </row>
    <row r="817" spans="1:6" x14ac:dyDescent="0.3">
      <c r="A817" t="s">
        <v>149</v>
      </c>
      <c r="B817" t="s">
        <v>122</v>
      </c>
      <c r="C817">
        <v>2023</v>
      </c>
      <c r="D817" s="4">
        <v>9475.1200000000008</v>
      </c>
      <c r="E817" s="26">
        <v>45100</v>
      </c>
      <c r="F817" s="5"/>
    </row>
    <row r="818" spans="1:6" x14ac:dyDescent="0.3">
      <c r="A818" t="s">
        <v>136</v>
      </c>
      <c r="B818" t="s">
        <v>120</v>
      </c>
      <c r="C818">
        <v>2023</v>
      </c>
      <c r="D818" s="4">
        <v>3492.3</v>
      </c>
      <c r="E818" s="26">
        <v>45168</v>
      </c>
      <c r="F818" s="5"/>
    </row>
    <row r="819" spans="1:6" x14ac:dyDescent="0.3">
      <c r="A819" t="s">
        <v>145</v>
      </c>
      <c r="B819" t="s">
        <v>120</v>
      </c>
      <c r="C819">
        <v>2024</v>
      </c>
      <c r="D819" s="4">
        <v>5351.62</v>
      </c>
      <c r="E819" s="26">
        <v>45301</v>
      </c>
      <c r="F819" s="5"/>
    </row>
    <row r="820" spans="1:6" x14ac:dyDescent="0.3">
      <c r="A820" t="s">
        <v>146</v>
      </c>
      <c r="B820" t="s">
        <v>128</v>
      </c>
      <c r="C820">
        <v>2025</v>
      </c>
      <c r="D820" s="4">
        <v>5560.79</v>
      </c>
      <c r="E820" s="26">
        <v>45973</v>
      </c>
      <c r="F820" s="5"/>
    </row>
    <row r="821" spans="1:6" x14ac:dyDescent="0.3">
      <c r="A821" t="s">
        <v>143</v>
      </c>
      <c r="B821" t="s">
        <v>122</v>
      </c>
      <c r="C821">
        <v>2023</v>
      </c>
      <c r="D821" s="4">
        <v>8132.32</v>
      </c>
      <c r="E821" s="26">
        <v>45209</v>
      </c>
      <c r="F821" s="5"/>
    </row>
    <row r="822" spans="1:6" x14ac:dyDescent="0.3">
      <c r="A822" t="s">
        <v>144</v>
      </c>
      <c r="B822" t="s">
        <v>116</v>
      </c>
      <c r="C822">
        <v>2024</v>
      </c>
      <c r="D822" s="4">
        <v>6916.05</v>
      </c>
      <c r="E822" s="26">
        <v>45307</v>
      </c>
      <c r="F822" s="5"/>
    </row>
    <row r="823" spans="1:6" x14ac:dyDescent="0.3">
      <c r="A823" t="s">
        <v>124</v>
      </c>
      <c r="B823" t="s">
        <v>120</v>
      </c>
      <c r="C823">
        <v>2023</v>
      </c>
      <c r="D823" s="4">
        <v>7857.79</v>
      </c>
      <c r="E823" s="26">
        <v>45281</v>
      </c>
      <c r="F823" s="5"/>
    </row>
    <row r="824" spans="1:6" x14ac:dyDescent="0.3">
      <c r="A824" t="s">
        <v>156</v>
      </c>
      <c r="B824" t="s">
        <v>128</v>
      </c>
      <c r="C824">
        <v>2024</v>
      </c>
      <c r="D824" s="4">
        <v>2136.09</v>
      </c>
      <c r="E824" s="26">
        <v>45518</v>
      </c>
      <c r="F824" s="5"/>
    </row>
    <row r="825" spans="1:6" x14ac:dyDescent="0.3">
      <c r="A825" t="s">
        <v>136</v>
      </c>
      <c r="B825" t="s">
        <v>120</v>
      </c>
      <c r="C825">
        <v>2025</v>
      </c>
      <c r="D825" s="4">
        <v>8747.86</v>
      </c>
      <c r="E825" s="26">
        <v>45850</v>
      </c>
      <c r="F825" s="5"/>
    </row>
    <row r="826" spans="1:6" x14ac:dyDescent="0.3">
      <c r="A826" t="s">
        <v>139</v>
      </c>
      <c r="B826" t="s">
        <v>120</v>
      </c>
      <c r="C826">
        <v>2023</v>
      </c>
      <c r="D826" s="4">
        <v>6887.6</v>
      </c>
      <c r="E826" s="26">
        <v>44946</v>
      </c>
      <c r="F826" s="5"/>
    </row>
    <row r="827" spans="1:6" x14ac:dyDescent="0.3">
      <c r="A827" t="s">
        <v>118</v>
      </c>
      <c r="B827" t="s">
        <v>116</v>
      </c>
      <c r="C827">
        <v>2025</v>
      </c>
      <c r="D827" s="4">
        <v>13500.84</v>
      </c>
      <c r="E827" s="26">
        <v>45713</v>
      </c>
      <c r="F827" s="5"/>
    </row>
    <row r="828" spans="1:6" x14ac:dyDescent="0.3">
      <c r="A828" t="s">
        <v>132</v>
      </c>
      <c r="B828" t="s">
        <v>128</v>
      </c>
      <c r="C828">
        <v>2025</v>
      </c>
      <c r="D828" s="4">
        <v>5846.05</v>
      </c>
      <c r="E828" s="26">
        <v>45940</v>
      </c>
      <c r="F828" s="5"/>
    </row>
    <row r="829" spans="1:6" x14ac:dyDescent="0.3">
      <c r="A829" t="s">
        <v>156</v>
      </c>
      <c r="B829" t="s">
        <v>128</v>
      </c>
      <c r="C829">
        <v>2025</v>
      </c>
      <c r="D829" s="4">
        <v>9999.9599999999991</v>
      </c>
      <c r="E829" s="26">
        <v>45778</v>
      </c>
      <c r="F829" s="5"/>
    </row>
    <row r="830" spans="1:6" x14ac:dyDescent="0.3">
      <c r="A830" t="s">
        <v>151</v>
      </c>
      <c r="B830" t="s">
        <v>120</v>
      </c>
      <c r="C830">
        <v>2025</v>
      </c>
      <c r="D830" s="4">
        <v>2508.1</v>
      </c>
      <c r="E830" s="26">
        <v>45927</v>
      </c>
      <c r="F830" s="5"/>
    </row>
    <row r="831" spans="1:6" x14ac:dyDescent="0.3">
      <c r="A831" t="s">
        <v>133</v>
      </c>
      <c r="B831" t="s">
        <v>128</v>
      </c>
      <c r="C831">
        <v>2023</v>
      </c>
      <c r="D831" s="4">
        <v>11183.16</v>
      </c>
      <c r="E831" s="26">
        <v>44990</v>
      </c>
      <c r="F831" s="5"/>
    </row>
    <row r="832" spans="1:6" x14ac:dyDescent="0.3">
      <c r="A832" t="s">
        <v>147</v>
      </c>
      <c r="B832" t="s">
        <v>120</v>
      </c>
      <c r="C832">
        <v>2024</v>
      </c>
      <c r="D832" s="4">
        <v>651.19000000000005</v>
      </c>
      <c r="E832" s="26">
        <v>45525</v>
      </c>
      <c r="F832" s="5"/>
    </row>
    <row r="833" spans="1:6" x14ac:dyDescent="0.3">
      <c r="A833" t="s">
        <v>147</v>
      </c>
      <c r="B833" t="s">
        <v>120</v>
      </c>
      <c r="C833">
        <v>2024</v>
      </c>
      <c r="D833" s="4">
        <v>2521.2800000000002</v>
      </c>
      <c r="E833" s="26">
        <v>45518</v>
      </c>
      <c r="F833" s="5"/>
    </row>
    <row r="834" spans="1:6" x14ac:dyDescent="0.3">
      <c r="A834" t="s">
        <v>129</v>
      </c>
      <c r="B834" t="s">
        <v>120</v>
      </c>
      <c r="C834">
        <v>2025</v>
      </c>
      <c r="D834" s="4">
        <v>7786.22</v>
      </c>
      <c r="E834" s="26">
        <v>45941</v>
      </c>
      <c r="F834" s="5"/>
    </row>
    <row r="835" spans="1:6" x14ac:dyDescent="0.3">
      <c r="A835" t="s">
        <v>145</v>
      </c>
      <c r="B835" t="s">
        <v>120</v>
      </c>
      <c r="C835">
        <v>2023</v>
      </c>
      <c r="D835" s="4">
        <v>3896.87</v>
      </c>
      <c r="E835" s="26">
        <v>45160</v>
      </c>
      <c r="F835" s="5"/>
    </row>
    <row r="836" spans="1:6" x14ac:dyDescent="0.3">
      <c r="A836" t="s">
        <v>124</v>
      </c>
      <c r="B836" t="s">
        <v>120</v>
      </c>
      <c r="C836">
        <v>2025</v>
      </c>
      <c r="D836" s="4">
        <v>7680.2</v>
      </c>
      <c r="E836" s="26">
        <v>45678</v>
      </c>
      <c r="F836" s="5"/>
    </row>
    <row r="837" spans="1:6" x14ac:dyDescent="0.3">
      <c r="A837" t="s">
        <v>134</v>
      </c>
      <c r="B837" t="s">
        <v>120</v>
      </c>
      <c r="C837">
        <v>2025</v>
      </c>
      <c r="D837" s="4">
        <v>7739.68</v>
      </c>
      <c r="E837" s="26">
        <v>45830</v>
      </c>
      <c r="F837" s="5"/>
    </row>
    <row r="838" spans="1:6" x14ac:dyDescent="0.3">
      <c r="A838" t="s">
        <v>144</v>
      </c>
      <c r="B838" t="s">
        <v>116</v>
      </c>
      <c r="C838">
        <v>2023</v>
      </c>
      <c r="D838" s="4">
        <v>10356.64</v>
      </c>
      <c r="E838" s="26">
        <v>45136</v>
      </c>
      <c r="F838" s="5"/>
    </row>
    <row r="839" spans="1:6" x14ac:dyDescent="0.3">
      <c r="A839" t="s">
        <v>125</v>
      </c>
      <c r="B839" t="s">
        <v>122</v>
      </c>
      <c r="C839">
        <v>2024</v>
      </c>
      <c r="D839" s="4">
        <v>12272.38</v>
      </c>
      <c r="E839" s="26">
        <v>45536</v>
      </c>
      <c r="F839" s="5"/>
    </row>
    <row r="840" spans="1:6" x14ac:dyDescent="0.3">
      <c r="A840" t="s">
        <v>134</v>
      </c>
      <c r="B840" t="s">
        <v>120</v>
      </c>
      <c r="C840">
        <v>2025</v>
      </c>
      <c r="D840" s="4">
        <v>3826.85</v>
      </c>
      <c r="E840" s="26">
        <v>45848</v>
      </c>
      <c r="F840" s="5"/>
    </row>
    <row r="841" spans="1:6" x14ac:dyDescent="0.3">
      <c r="A841" t="s">
        <v>158</v>
      </c>
      <c r="B841" t="s">
        <v>120</v>
      </c>
      <c r="C841">
        <v>2025</v>
      </c>
      <c r="D841" s="4">
        <v>12141.01</v>
      </c>
      <c r="E841" s="26">
        <v>45826</v>
      </c>
      <c r="F841" s="5"/>
    </row>
    <row r="842" spans="1:6" x14ac:dyDescent="0.3">
      <c r="A842" t="s">
        <v>145</v>
      </c>
      <c r="B842" t="s">
        <v>120</v>
      </c>
      <c r="C842">
        <v>2024</v>
      </c>
      <c r="D842" s="4">
        <v>3096.32</v>
      </c>
      <c r="E842" s="26">
        <v>45412</v>
      </c>
      <c r="F842" s="5"/>
    </row>
    <row r="843" spans="1:6" x14ac:dyDescent="0.3">
      <c r="A843" t="s">
        <v>131</v>
      </c>
      <c r="B843" t="s">
        <v>122</v>
      </c>
      <c r="C843">
        <v>2024</v>
      </c>
      <c r="D843" s="4">
        <v>12082.47</v>
      </c>
      <c r="E843" s="26">
        <v>45645</v>
      </c>
      <c r="F843" s="5"/>
    </row>
    <row r="844" spans="1:6" x14ac:dyDescent="0.3">
      <c r="A844" t="s">
        <v>153</v>
      </c>
      <c r="B844" t="s">
        <v>122</v>
      </c>
      <c r="C844">
        <v>2025</v>
      </c>
      <c r="D844" s="4">
        <v>2490.5500000000002</v>
      </c>
      <c r="E844" s="26">
        <v>45803</v>
      </c>
      <c r="F844" s="5"/>
    </row>
    <row r="845" spans="1:6" x14ac:dyDescent="0.3">
      <c r="A845" t="s">
        <v>137</v>
      </c>
      <c r="B845" t="s">
        <v>128</v>
      </c>
      <c r="C845">
        <v>2024</v>
      </c>
      <c r="D845" s="4">
        <v>11426.71</v>
      </c>
      <c r="E845" s="26">
        <v>45350</v>
      </c>
      <c r="F845" s="5"/>
    </row>
    <row r="846" spans="1:6" x14ac:dyDescent="0.3">
      <c r="A846" t="s">
        <v>115</v>
      </c>
      <c r="B846" t="s">
        <v>116</v>
      </c>
      <c r="C846">
        <v>2024</v>
      </c>
      <c r="D846" s="4">
        <v>7545.48</v>
      </c>
      <c r="E846" s="26">
        <v>45645</v>
      </c>
      <c r="F846" s="5"/>
    </row>
    <row r="847" spans="1:6" x14ac:dyDescent="0.3">
      <c r="A847" t="s">
        <v>143</v>
      </c>
      <c r="B847" t="s">
        <v>122</v>
      </c>
      <c r="C847">
        <v>2023</v>
      </c>
      <c r="D847" s="4">
        <v>4666.42</v>
      </c>
      <c r="E847" s="26">
        <v>45271</v>
      </c>
      <c r="F847" s="5"/>
    </row>
    <row r="848" spans="1:6" x14ac:dyDescent="0.3">
      <c r="A848" t="s">
        <v>130</v>
      </c>
      <c r="B848" t="s">
        <v>116</v>
      </c>
      <c r="C848">
        <v>2024</v>
      </c>
      <c r="D848" s="4">
        <v>8103.75</v>
      </c>
      <c r="E848" s="26">
        <v>45519</v>
      </c>
      <c r="F848" s="5"/>
    </row>
    <row r="849" spans="1:6" x14ac:dyDescent="0.3">
      <c r="A849" t="s">
        <v>132</v>
      </c>
      <c r="B849" t="s">
        <v>128</v>
      </c>
      <c r="C849">
        <v>2023</v>
      </c>
      <c r="D849" s="4">
        <v>2071.13</v>
      </c>
      <c r="E849" s="26">
        <v>45122</v>
      </c>
      <c r="F849" s="5"/>
    </row>
    <row r="850" spans="1:6" x14ac:dyDescent="0.3">
      <c r="A850" t="s">
        <v>148</v>
      </c>
      <c r="B850" t="s">
        <v>120</v>
      </c>
      <c r="C850">
        <v>2023</v>
      </c>
      <c r="D850" s="4">
        <v>13896.31</v>
      </c>
      <c r="E850" s="26">
        <v>45048</v>
      </c>
      <c r="F850" s="5"/>
    </row>
    <row r="851" spans="1:6" x14ac:dyDescent="0.3">
      <c r="A851" t="s">
        <v>137</v>
      </c>
      <c r="B851" t="s">
        <v>128</v>
      </c>
      <c r="C851">
        <v>2023</v>
      </c>
      <c r="D851" s="4">
        <v>3645.55</v>
      </c>
      <c r="E851" s="26">
        <v>45198</v>
      </c>
      <c r="F851" s="5"/>
    </row>
    <row r="852" spans="1:6" x14ac:dyDescent="0.3">
      <c r="A852" t="s">
        <v>136</v>
      </c>
      <c r="B852" t="s">
        <v>120</v>
      </c>
      <c r="C852">
        <v>2024</v>
      </c>
      <c r="D852" s="4">
        <v>10708.34</v>
      </c>
      <c r="E852" s="26">
        <v>45433</v>
      </c>
      <c r="F852" s="5"/>
    </row>
    <row r="853" spans="1:6" x14ac:dyDescent="0.3">
      <c r="A853" t="s">
        <v>155</v>
      </c>
      <c r="B853" t="s">
        <v>128</v>
      </c>
      <c r="C853">
        <v>2025</v>
      </c>
      <c r="D853" s="4">
        <v>2161.9699999999998</v>
      </c>
      <c r="E853" s="26">
        <v>45929</v>
      </c>
      <c r="F853" s="5"/>
    </row>
    <row r="854" spans="1:6" x14ac:dyDescent="0.3">
      <c r="A854" t="s">
        <v>154</v>
      </c>
      <c r="B854" t="s">
        <v>128</v>
      </c>
      <c r="C854">
        <v>2025</v>
      </c>
      <c r="D854" s="4">
        <v>5377.38</v>
      </c>
      <c r="E854" s="26">
        <v>45775</v>
      </c>
      <c r="F854" s="5"/>
    </row>
    <row r="855" spans="1:6" x14ac:dyDescent="0.3">
      <c r="A855" t="s">
        <v>121</v>
      </c>
      <c r="B855" t="s">
        <v>122</v>
      </c>
      <c r="C855">
        <v>2023</v>
      </c>
      <c r="D855" s="4">
        <v>5759.34</v>
      </c>
      <c r="E855" s="26">
        <v>45117</v>
      </c>
      <c r="F855" s="5"/>
    </row>
    <row r="856" spans="1:6" x14ac:dyDescent="0.3">
      <c r="A856" t="s">
        <v>154</v>
      </c>
      <c r="B856" t="s">
        <v>128</v>
      </c>
      <c r="C856">
        <v>2025</v>
      </c>
      <c r="D856" s="4">
        <v>6474.8</v>
      </c>
      <c r="E856" s="26">
        <v>45682</v>
      </c>
      <c r="F856" s="5"/>
    </row>
    <row r="857" spans="1:6" x14ac:dyDescent="0.3">
      <c r="A857" t="s">
        <v>156</v>
      </c>
      <c r="B857" t="s">
        <v>128</v>
      </c>
      <c r="C857">
        <v>2024</v>
      </c>
      <c r="D857" s="4">
        <v>8230.99</v>
      </c>
      <c r="E857" s="26">
        <v>45597</v>
      </c>
      <c r="F857" s="5"/>
    </row>
    <row r="858" spans="1:6" x14ac:dyDescent="0.3">
      <c r="A858" t="s">
        <v>158</v>
      </c>
      <c r="B858" t="s">
        <v>120</v>
      </c>
      <c r="C858">
        <v>2025</v>
      </c>
      <c r="D858" s="4">
        <v>8960.7999999999993</v>
      </c>
      <c r="E858" s="26">
        <v>45865</v>
      </c>
      <c r="F858" s="5"/>
    </row>
    <row r="859" spans="1:6" x14ac:dyDescent="0.3">
      <c r="A859" t="s">
        <v>139</v>
      </c>
      <c r="B859" t="s">
        <v>120</v>
      </c>
      <c r="C859">
        <v>2023</v>
      </c>
      <c r="D859" s="4">
        <v>11180.36</v>
      </c>
      <c r="E859" s="26">
        <v>45056</v>
      </c>
      <c r="F859" s="5"/>
    </row>
    <row r="860" spans="1:6" x14ac:dyDescent="0.3">
      <c r="A860" t="s">
        <v>155</v>
      </c>
      <c r="B860" t="s">
        <v>128</v>
      </c>
      <c r="C860">
        <v>2024</v>
      </c>
      <c r="D860" s="4">
        <v>13560.17</v>
      </c>
      <c r="E860" s="26">
        <v>45373</v>
      </c>
      <c r="F860" s="5"/>
    </row>
    <row r="861" spans="1:6" x14ac:dyDescent="0.3">
      <c r="A861" t="s">
        <v>138</v>
      </c>
      <c r="B861" t="s">
        <v>122</v>
      </c>
      <c r="C861">
        <v>2025</v>
      </c>
      <c r="D861" s="4">
        <v>3905.81</v>
      </c>
      <c r="E861" s="26">
        <v>45940</v>
      </c>
      <c r="F861" s="5"/>
    </row>
    <row r="862" spans="1:6" x14ac:dyDescent="0.3">
      <c r="A862" t="s">
        <v>130</v>
      </c>
      <c r="B862" t="s">
        <v>116</v>
      </c>
      <c r="C862">
        <v>2024</v>
      </c>
      <c r="D862" s="4">
        <v>7752.89</v>
      </c>
      <c r="E862" s="26">
        <v>45618</v>
      </c>
      <c r="F862" s="5"/>
    </row>
    <row r="863" spans="1:6" x14ac:dyDescent="0.3">
      <c r="A863" t="s">
        <v>137</v>
      </c>
      <c r="B863" t="s">
        <v>128</v>
      </c>
      <c r="C863">
        <v>2025</v>
      </c>
      <c r="D863" s="4">
        <v>11078.59</v>
      </c>
      <c r="E863" s="26">
        <v>45920</v>
      </c>
      <c r="F863" s="5"/>
    </row>
    <row r="864" spans="1:6" x14ac:dyDescent="0.3">
      <c r="A864" t="s">
        <v>115</v>
      </c>
      <c r="B864" t="s">
        <v>116</v>
      </c>
      <c r="C864">
        <v>2023</v>
      </c>
      <c r="D864" s="4">
        <v>1574.13</v>
      </c>
      <c r="E864" s="26">
        <v>45021</v>
      </c>
      <c r="F864" s="5"/>
    </row>
    <row r="865" spans="1:6" x14ac:dyDescent="0.3">
      <c r="A865" t="s">
        <v>129</v>
      </c>
      <c r="B865" t="s">
        <v>120</v>
      </c>
      <c r="C865">
        <v>2023</v>
      </c>
      <c r="D865" s="4">
        <v>1914.47</v>
      </c>
      <c r="E865" s="26">
        <v>44960</v>
      </c>
      <c r="F865" s="5"/>
    </row>
    <row r="866" spans="1:6" x14ac:dyDescent="0.3">
      <c r="A866" t="s">
        <v>152</v>
      </c>
      <c r="B866" t="s">
        <v>116</v>
      </c>
      <c r="C866">
        <v>2025</v>
      </c>
      <c r="D866" s="4">
        <v>6499.95</v>
      </c>
      <c r="E866" s="26">
        <v>45830</v>
      </c>
      <c r="F866" s="5"/>
    </row>
    <row r="867" spans="1:6" x14ac:dyDescent="0.3">
      <c r="A867" t="s">
        <v>144</v>
      </c>
      <c r="B867" t="s">
        <v>116</v>
      </c>
      <c r="C867">
        <v>2024</v>
      </c>
      <c r="D867" s="4">
        <v>13940.58</v>
      </c>
      <c r="E867" s="26">
        <v>45341</v>
      </c>
      <c r="F867" s="5"/>
    </row>
    <row r="868" spans="1:6" x14ac:dyDescent="0.3">
      <c r="A868" t="s">
        <v>137</v>
      </c>
      <c r="B868" t="s">
        <v>128</v>
      </c>
      <c r="C868">
        <v>2024</v>
      </c>
      <c r="D868" s="4">
        <v>2393.89</v>
      </c>
      <c r="E868" s="26">
        <v>45545</v>
      </c>
      <c r="F868" s="5"/>
    </row>
    <row r="869" spans="1:6" x14ac:dyDescent="0.3">
      <c r="A869" t="s">
        <v>154</v>
      </c>
      <c r="B869" t="s">
        <v>128</v>
      </c>
      <c r="C869">
        <v>2023</v>
      </c>
      <c r="D869" s="4">
        <v>9233.31</v>
      </c>
      <c r="E869" s="26">
        <v>45118</v>
      </c>
      <c r="F869" s="5"/>
    </row>
    <row r="870" spans="1:6" x14ac:dyDescent="0.3">
      <c r="A870" t="s">
        <v>135</v>
      </c>
      <c r="B870" t="s">
        <v>116</v>
      </c>
      <c r="C870">
        <v>2023</v>
      </c>
      <c r="D870" s="4">
        <v>5331.44</v>
      </c>
      <c r="E870" s="26">
        <v>45095</v>
      </c>
      <c r="F870" s="5"/>
    </row>
    <row r="871" spans="1:6" x14ac:dyDescent="0.3">
      <c r="A871" t="s">
        <v>152</v>
      </c>
      <c r="B871" t="s">
        <v>116</v>
      </c>
      <c r="C871">
        <v>2023</v>
      </c>
      <c r="D871" s="4">
        <v>5669.51</v>
      </c>
      <c r="E871" s="26">
        <v>45033</v>
      </c>
      <c r="F871" s="5"/>
    </row>
    <row r="872" spans="1:6" x14ac:dyDescent="0.3">
      <c r="A872" t="s">
        <v>149</v>
      </c>
      <c r="B872" t="s">
        <v>122</v>
      </c>
      <c r="C872">
        <v>2024</v>
      </c>
      <c r="D872" s="4">
        <v>6123.39</v>
      </c>
      <c r="E872" s="26">
        <v>45406</v>
      </c>
      <c r="F872" s="5"/>
    </row>
    <row r="873" spans="1:6" x14ac:dyDescent="0.3">
      <c r="A873" t="s">
        <v>158</v>
      </c>
      <c r="B873" t="s">
        <v>120</v>
      </c>
      <c r="C873">
        <v>2023</v>
      </c>
      <c r="D873" s="4">
        <v>214.99</v>
      </c>
      <c r="E873" s="26">
        <v>45121</v>
      </c>
      <c r="F873" s="5"/>
    </row>
    <row r="874" spans="1:6" x14ac:dyDescent="0.3">
      <c r="A874" t="s">
        <v>126</v>
      </c>
      <c r="B874" t="s">
        <v>116</v>
      </c>
      <c r="C874">
        <v>2023</v>
      </c>
      <c r="D874" s="4">
        <v>2031.26</v>
      </c>
      <c r="E874" s="26">
        <v>45086</v>
      </c>
      <c r="F874" s="5"/>
    </row>
    <row r="875" spans="1:6" x14ac:dyDescent="0.3">
      <c r="A875" t="s">
        <v>147</v>
      </c>
      <c r="B875" t="s">
        <v>120</v>
      </c>
      <c r="C875">
        <v>2025</v>
      </c>
      <c r="D875" s="4">
        <v>9583.76</v>
      </c>
      <c r="E875" s="26">
        <v>45990</v>
      </c>
      <c r="F875" s="5"/>
    </row>
    <row r="876" spans="1:6" x14ac:dyDescent="0.3">
      <c r="A876" t="s">
        <v>150</v>
      </c>
      <c r="B876" t="s">
        <v>116</v>
      </c>
      <c r="C876">
        <v>2023</v>
      </c>
      <c r="D876" s="4">
        <v>9799.24</v>
      </c>
      <c r="E876" s="26">
        <v>44943</v>
      </c>
      <c r="F876" s="5"/>
    </row>
    <row r="877" spans="1:6" x14ac:dyDescent="0.3">
      <c r="A877" t="s">
        <v>145</v>
      </c>
      <c r="B877" t="s">
        <v>120</v>
      </c>
      <c r="C877">
        <v>2025</v>
      </c>
      <c r="D877" s="4">
        <v>9777.6299999999992</v>
      </c>
      <c r="E877" s="26">
        <v>45791</v>
      </c>
      <c r="F877" s="5"/>
    </row>
    <row r="878" spans="1:6" x14ac:dyDescent="0.3">
      <c r="A878" t="s">
        <v>126</v>
      </c>
      <c r="B878" t="s">
        <v>116</v>
      </c>
      <c r="C878">
        <v>2023</v>
      </c>
      <c r="D878" s="4">
        <v>3359.47</v>
      </c>
      <c r="E878" s="26">
        <v>45072</v>
      </c>
      <c r="F878" s="5"/>
    </row>
    <row r="879" spans="1:6" x14ac:dyDescent="0.3">
      <c r="A879" t="s">
        <v>158</v>
      </c>
      <c r="B879" t="s">
        <v>120</v>
      </c>
      <c r="C879">
        <v>2023</v>
      </c>
      <c r="D879" s="4">
        <v>1624.18</v>
      </c>
      <c r="E879" s="26">
        <v>45136</v>
      </c>
      <c r="F879" s="5"/>
    </row>
    <row r="880" spans="1:6" x14ac:dyDescent="0.3">
      <c r="A880" t="s">
        <v>140</v>
      </c>
      <c r="B880" t="s">
        <v>128</v>
      </c>
      <c r="C880">
        <v>2024</v>
      </c>
      <c r="D880" s="4">
        <v>2092.38</v>
      </c>
      <c r="E880" s="26">
        <v>45539</v>
      </c>
      <c r="F880" s="5"/>
    </row>
    <row r="881" spans="1:6" x14ac:dyDescent="0.3">
      <c r="A881" t="s">
        <v>137</v>
      </c>
      <c r="B881" t="s">
        <v>128</v>
      </c>
      <c r="C881">
        <v>2023</v>
      </c>
      <c r="D881" s="4">
        <v>1144.08</v>
      </c>
      <c r="E881" s="26">
        <v>45219</v>
      </c>
      <c r="F881" s="5"/>
    </row>
    <row r="882" spans="1:6" x14ac:dyDescent="0.3">
      <c r="A882" t="s">
        <v>133</v>
      </c>
      <c r="B882" t="s">
        <v>128</v>
      </c>
      <c r="C882">
        <v>2023</v>
      </c>
      <c r="D882" s="4">
        <v>8622.41</v>
      </c>
      <c r="E882" s="26">
        <v>44944</v>
      </c>
      <c r="F882" s="5"/>
    </row>
    <row r="883" spans="1:6" x14ac:dyDescent="0.3">
      <c r="A883" t="s">
        <v>152</v>
      </c>
      <c r="B883" t="s">
        <v>116</v>
      </c>
      <c r="C883">
        <v>2025</v>
      </c>
      <c r="D883" s="4">
        <v>5046.3900000000003</v>
      </c>
      <c r="E883" s="26">
        <v>45828</v>
      </c>
      <c r="F883" s="5"/>
    </row>
    <row r="884" spans="1:6" x14ac:dyDescent="0.3">
      <c r="A884" t="s">
        <v>138</v>
      </c>
      <c r="B884" t="s">
        <v>122</v>
      </c>
      <c r="C884">
        <v>2023</v>
      </c>
      <c r="D884" s="4">
        <v>12894.54</v>
      </c>
      <c r="E884" s="26">
        <v>45237</v>
      </c>
      <c r="F884" s="5"/>
    </row>
    <row r="885" spans="1:6" x14ac:dyDescent="0.3">
      <c r="A885" t="s">
        <v>153</v>
      </c>
      <c r="B885" t="s">
        <v>122</v>
      </c>
      <c r="C885">
        <v>2025</v>
      </c>
      <c r="D885" s="4">
        <v>12067.48</v>
      </c>
      <c r="E885" s="26">
        <v>45833</v>
      </c>
      <c r="F885" s="5"/>
    </row>
    <row r="886" spans="1:6" x14ac:dyDescent="0.3">
      <c r="A886" t="s">
        <v>158</v>
      </c>
      <c r="B886" t="s">
        <v>120</v>
      </c>
      <c r="C886">
        <v>2023</v>
      </c>
      <c r="D886" s="4">
        <v>2132.1799999999998</v>
      </c>
      <c r="E886" s="26">
        <v>45132</v>
      </c>
      <c r="F886" s="5"/>
    </row>
    <row r="887" spans="1:6" x14ac:dyDescent="0.3">
      <c r="A887" t="s">
        <v>145</v>
      </c>
      <c r="B887" t="s">
        <v>120</v>
      </c>
      <c r="C887">
        <v>2025</v>
      </c>
      <c r="D887" s="4">
        <v>5051.1899999999996</v>
      </c>
      <c r="E887" s="26">
        <v>45713</v>
      </c>
      <c r="F887" s="5"/>
    </row>
    <row r="888" spans="1:6" x14ac:dyDescent="0.3">
      <c r="A888" t="s">
        <v>144</v>
      </c>
      <c r="B888" t="s">
        <v>116</v>
      </c>
      <c r="C888">
        <v>2024</v>
      </c>
      <c r="D888" s="4">
        <v>11116.86</v>
      </c>
      <c r="E888" s="26">
        <v>45571</v>
      </c>
      <c r="F888" s="5"/>
    </row>
    <row r="889" spans="1:6" x14ac:dyDescent="0.3">
      <c r="A889" t="s">
        <v>125</v>
      </c>
      <c r="B889" t="s">
        <v>122</v>
      </c>
      <c r="C889">
        <v>2024</v>
      </c>
      <c r="D889" s="4">
        <v>9095.76</v>
      </c>
      <c r="E889" s="26">
        <v>45494</v>
      </c>
      <c r="F889" s="5"/>
    </row>
    <row r="890" spans="1:6" x14ac:dyDescent="0.3">
      <c r="A890" t="s">
        <v>125</v>
      </c>
      <c r="B890" t="s">
        <v>122</v>
      </c>
      <c r="C890">
        <v>2024</v>
      </c>
      <c r="D890" s="4">
        <v>10949.78</v>
      </c>
      <c r="E890" s="26">
        <v>45510</v>
      </c>
      <c r="F890" s="5"/>
    </row>
    <row r="891" spans="1:6" x14ac:dyDescent="0.3">
      <c r="A891" t="s">
        <v>159</v>
      </c>
      <c r="B891" t="s">
        <v>116</v>
      </c>
      <c r="C891">
        <v>2024</v>
      </c>
      <c r="D891" s="4">
        <v>3035.15</v>
      </c>
      <c r="E891" s="26">
        <v>45544</v>
      </c>
      <c r="F891" s="5"/>
    </row>
    <row r="892" spans="1:6" x14ac:dyDescent="0.3">
      <c r="A892" t="s">
        <v>143</v>
      </c>
      <c r="B892" t="s">
        <v>122</v>
      </c>
      <c r="C892">
        <v>2025</v>
      </c>
      <c r="D892" s="4">
        <v>2803.32</v>
      </c>
      <c r="E892" s="26">
        <v>45970</v>
      </c>
      <c r="F892" s="5"/>
    </row>
    <row r="893" spans="1:6" x14ac:dyDescent="0.3">
      <c r="A893" t="s">
        <v>155</v>
      </c>
      <c r="B893" t="s">
        <v>128</v>
      </c>
      <c r="C893">
        <v>2024</v>
      </c>
      <c r="D893" s="4">
        <v>9117.14</v>
      </c>
      <c r="E893" s="26">
        <v>45532</v>
      </c>
      <c r="F893" s="5"/>
    </row>
    <row r="894" spans="1:6" x14ac:dyDescent="0.3">
      <c r="A894" t="s">
        <v>125</v>
      </c>
      <c r="B894" t="s">
        <v>122</v>
      </c>
      <c r="C894">
        <v>2025</v>
      </c>
      <c r="D894" s="4">
        <v>5525.22</v>
      </c>
      <c r="E894" s="26">
        <v>45940</v>
      </c>
      <c r="F894" s="5"/>
    </row>
    <row r="895" spans="1:6" x14ac:dyDescent="0.3">
      <c r="A895" t="s">
        <v>125</v>
      </c>
      <c r="B895" t="s">
        <v>122</v>
      </c>
      <c r="C895">
        <v>2025</v>
      </c>
      <c r="D895" s="4">
        <v>9005.5400000000009</v>
      </c>
      <c r="E895" s="26">
        <v>45950</v>
      </c>
      <c r="F895" s="5"/>
    </row>
    <row r="896" spans="1:6" x14ac:dyDescent="0.3">
      <c r="A896" t="s">
        <v>121</v>
      </c>
      <c r="B896" t="s">
        <v>122</v>
      </c>
      <c r="C896">
        <v>2025</v>
      </c>
      <c r="D896" s="4">
        <v>12464.4</v>
      </c>
      <c r="E896" s="26">
        <v>46008</v>
      </c>
      <c r="F896" s="5"/>
    </row>
    <row r="897" spans="1:6" x14ac:dyDescent="0.3">
      <c r="A897" t="s">
        <v>150</v>
      </c>
      <c r="B897" t="s">
        <v>116</v>
      </c>
      <c r="C897">
        <v>2025</v>
      </c>
      <c r="D897" s="4">
        <v>13088.16</v>
      </c>
      <c r="E897" s="26">
        <v>45666</v>
      </c>
      <c r="F897" s="5"/>
    </row>
    <row r="898" spans="1:6" x14ac:dyDescent="0.3">
      <c r="A898" t="s">
        <v>137</v>
      </c>
      <c r="B898" t="s">
        <v>128</v>
      </c>
      <c r="C898">
        <v>2025</v>
      </c>
      <c r="D898" s="4">
        <v>12079.23</v>
      </c>
      <c r="E898" s="26">
        <v>45719</v>
      </c>
      <c r="F898" s="5"/>
    </row>
    <row r="899" spans="1:6" x14ac:dyDescent="0.3">
      <c r="A899" t="s">
        <v>133</v>
      </c>
      <c r="B899" t="s">
        <v>128</v>
      </c>
      <c r="C899">
        <v>2025</v>
      </c>
      <c r="D899" s="4">
        <v>5242.6899999999996</v>
      </c>
      <c r="E899" s="26">
        <v>45788</v>
      </c>
      <c r="F899" s="5"/>
    </row>
    <row r="900" spans="1:6" x14ac:dyDescent="0.3">
      <c r="A900" t="s">
        <v>119</v>
      </c>
      <c r="B900" t="s">
        <v>120</v>
      </c>
      <c r="C900">
        <v>2025</v>
      </c>
      <c r="D900" s="4">
        <v>13371.45</v>
      </c>
      <c r="E900" s="26">
        <v>45891</v>
      </c>
      <c r="F900" s="5"/>
    </row>
    <row r="901" spans="1:6" x14ac:dyDescent="0.3">
      <c r="A901" t="s">
        <v>121</v>
      </c>
      <c r="B901" t="s">
        <v>122</v>
      </c>
      <c r="C901">
        <v>2023</v>
      </c>
      <c r="D901" s="4">
        <v>8305.6200000000008</v>
      </c>
      <c r="E901" s="26">
        <v>44961</v>
      </c>
      <c r="F901" s="5"/>
    </row>
    <row r="902" spans="1:6" x14ac:dyDescent="0.3">
      <c r="A902" t="s">
        <v>150</v>
      </c>
      <c r="B902" t="s">
        <v>116</v>
      </c>
      <c r="C902">
        <v>2024</v>
      </c>
      <c r="D902" s="4">
        <v>3177.25</v>
      </c>
      <c r="E902" s="26">
        <v>45463</v>
      </c>
      <c r="F902" s="5"/>
    </row>
    <row r="903" spans="1:6" x14ac:dyDescent="0.3">
      <c r="A903" t="s">
        <v>115</v>
      </c>
      <c r="B903" t="s">
        <v>116</v>
      </c>
      <c r="C903">
        <v>2025</v>
      </c>
      <c r="D903" s="4">
        <v>7191.23</v>
      </c>
      <c r="E903" s="26">
        <v>45742</v>
      </c>
      <c r="F903" s="5"/>
    </row>
    <row r="904" spans="1:6" x14ac:dyDescent="0.3">
      <c r="A904" t="s">
        <v>132</v>
      </c>
      <c r="B904" t="s">
        <v>128</v>
      </c>
      <c r="C904">
        <v>2025</v>
      </c>
      <c r="D904" s="4">
        <v>6045.34</v>
      </c>
      <c r="E904" s="26">
        <v>45777</v>
      </c>
      <c r="F904" s="5"/>
    </row>
    <row r="905" spans="1:6" x14ac:dyDescent="0.3">
      <c r="A905" t="s">
        <v>155</v>
      </c>
      <c r="B905" t="s">
        <v>128</v>
      </c>
      <c r="C905">
        <v>2023</v>
      </c>
      <c r="D905" s="4">
        <v>9039.41</v>
      </c>
      <c r="E905" s="26">
        <v>45095</v>
      </c>
      <c r="F905" s="5"/>
    </row>
    <row r="906" spans="1:6" x14ac:dyDescent="0.3">
      <c r="A906" t="s">
        <v>124</v>
      </c>
      <c r="B906" t="s">
        <v>120</v>
      </c>
      <c r="C906">
        <v>2023</v>
      </c>
      <c r="D906" s="4">
        <v>4029.05</v>
      </c>
      <c r="E906" s="26">
        <v>45239</v>
      </c>
      <c r="F906" s="5"/>
    </row>
    <row r="907" spans="1:6" x14ac:dyDescent="0.3">
      <c r="A907" t="s">
        <v>149</v>
      </c>
      <c r="B907" t="s">
        <v>122</v>
      </c>
      <c r="C907">
        <v>2023</v>
      </c>
      <c r="D907" s="4">
        <v>7256</v>
      </c>
      <c r="E907" s="26">
        <v>45088</v>
      </c>
      <c r="F907" s="5"/>
    </row>
    <row r="908" spans="1:6" x14ac:dyDescent="0.3">
      <c r="A908" t="s">
        <v>138</v>
      </c>
      <c r="B908" t="s">
        <v>122</v>
      </c>
      <c r="C908">
        <v>2023</v>
      </c>
      <c r="D908" s="4">
        <v>7602.18</v>
      </c>
      <c r="E908" s="26">
        <v>45245</v>
      </c>
      <c r="F908" s="5"/>
    </row>
    <row r="909" spans="1:6" x14ac:dyDescent="0.3">
      <c r="A909" t="s">
        <v>155</v>
      </c>
      <c r="B909" t="s">
        <v>128</v>
      </c>
      <c r="C909">
        <v>2023</v>
      </c>
      <c r="D909" s="4">
        <v>4480.34</v>
      </c>
      <c r="E909" s="26">
        <v>45062</v>
      </c>
      <c r="F909" s="5"/>
    </row>
    <row r="910" spans="1:6" x14ac:dyDescent="0.3">
      <c r="A910" t="s">
        <v>144</v>
      </c>
      <c r="B910" t="s">
        <v>116</v>
      </c>
      <c r="C910">
        <v>2024</v>
      </c>
      <c r="D910" s="4">
        <v>999.1</v>
      </c>
      <c r="E910" s="26">
        <v>45415</v>
      </c>
      <c r="F910" s="5"/>
    </row>
    <row r="911" spans="1:6" x14ac:dyDescent="0.3">
      <c r="A911" t="s">
        <v>158</v>
      </c>
      <c r="B911" t="s">
        <v>120</v>
      </c>
      <c r="C911">
        <v>2025</v>
      </c>
      <c r="D911" s="4">
        <v>1800.61</v>
      </c>
      <c r="E911" s="26">
        <v>45816</v>
      </c>
      <c r="F911" s="5"/>
    </row>
    <row r="912" spans="1:6" x14ac:dyDescent="0.3">
      <c r="A912" t="s">
        <v>153</v>
      </c>
      <c r="B912" t="s">
        <v>122</v>
      </c>
      <c r="C912">
        <v>2023</v>
      </c>
      <c r="D912" s="4">
        <v>4468.2</v>
      </c>
      <c r="E912" s="26">
        <v>45039</v>
      </c>
      <c r="F912" s="5"/>
    </row>
    <row r="913" spans="1:6" x14ac:dyDescent="0.3">
      <c r="A913" t="s">
        <v>119</v>
      </c>
      <c r="B913" t="s">
        <v>120</v>
      </c>
      <c r="C913">
        <v>2023</v>
      </c>
      <c r="D913" s="4">
        <v>374.78</v>
      </c>
      <c r="E913" s="26">
        <v>45171</v>
      </c>
      <c r="F913" s="5"/>
    </row>
    <row r="914" spans="1:6" x14ac:dyDescent="0.3">
      <c r="A914" t="s">
        <v>137</v>
      </c>
      <c r="B914" t="s">
        <v>128</v>
      </c>
      <c r="C914">
        <v>2023</v>
      </c>
      <c r="D914" s="4">
        <v>2460.89</v>
      </c>
      <c r="E914" s="26">
        <v>44950</v>
      </c>
      <c r="F914" s="5"/>
    </row>
    <row r="915" spans="1:6" x14ac:dyDescent="0.3">
      <c r="A915" t="s">
        <v>139</v>
      </c>
      <c r="B915" t="s">
        <v>120</v>
      </c>
      <c r="C915">
        <v>2025</v>
      </c>
      <c r="D915" s="4">
        <v>7337.68</v>
      </c>
      <c r="E915" s="26">
        <v>45998</v>
      </c>
      <c r="F915" s="5"/>
    </row>
    <row r="916" spans="1:6" x14ac:dyDescent="0.3">
      <c r="A916" t="s">
        <v>135</v>
      </c>
      <c r="B916" t="s">
        <v>116</v>
      </c>
      <c r="C916">
        <v>2023</v>
      </c>
      <c r="D916" s="4">
        <v>5331.8</v>
      </c>
      <c r="E916" s="26">
        <v>45268</v>
      </c>
      <c r="F916" s="5"/>
    </row>
    <row r="917" spans="1:6" x14ac:dyDescent="0.3">
      <c r="A917" t="s">
        <v>154</v>
      </c>
      <c r="B917" t="s">
        <v>128</v>
      </c>
      <c r="C917">
        <v>2023</v>
      </c>
      <c r="D917" s="4">
        <v>10845.74</v>
      </c>
      <c r="E917" s="26">
        <v>45168</v>
      </c>
      <c r="F917" s="5"/>
    </row>
    <row r="918" spans="1:6" x14ac:dyDescent="0.3">
      <c r="A918" t="s">
        <v>159</v>
      </c>
      <c r="B918" t="s">
        <v>116</v>
      </c>
      <c r="C918">
        <v>2024</v>
      </c>
      <c r="D918" s="4">
        <v>11338.09</v>
      </c>
      <c r="E918" s="26">
        <v>45613</v>
      </c>
      <c r="F918" s="5"/>
    </row>
    <row r="919" spans="1:6" x14ac:dyDescent="0.3">
      <c r="A919" t="s">
        <v>154</v>
      </c>
      <c r="B919" t="s">
        <v>128</v>
      </c>
      <c r="C919">
        <v>2025</v>
      </c>
      <c r="D919" s="4">
        <v>1081.43</v>
      </c>
      <c r="E919" s="26">
        <v>45999</v>
      </c>
      <c r="F919" s="5"/>
    </row>
    <row r="920" spans="1:6" x14ac:dyDescent="0.3">
      <c r="A920" t="s">
        <v>133</v>
      </c>
      <c r="B920" t="s">
        <v>128</v>
      </c>
      <c r="C920">
        <v>2023</v>
      </c>
      <c r="D920" s="4">
        <v>7046.84</v>
      </c>
      <c r="E920" s="26">
        <v>45084</v>
      </c>
      <c r="F920" s="5"/>
    </row>
    <row r="921" spans="1:6" x14ac:dyDescent="0.3">
      <c r="A921" t="s">
        <v>132</v>
      </c>
      <c r="B921" t="s">
        <v>128</v>
      </c>
      <c r="C921">
        <v>2025</v>
      </c>
      <c r="D921" s="4">
        <v>965.06</v>
      </c>
      <c r="E921" s="26">
        <v>45664</v>
      </c>
      <c r="F921" s="5"/>
    </row>
    <row r="922" spans="1:6" x14ac:dyDescent="0.3">
      <c r="A922" t="s">
        <v>133</v>
      </c>
      <c r="B922" t="s">
        <v>128</v>
      </c>
      <c r="C922">
        <v>2023</v>
      </c>
      <c r="D922" s="4">
        <v>5274.09</v>
      </c>
      <c r="E922" s="26">
        <v>45268</v>
      </c>
      <c r="F922" s="5"/>
    </row>
    <row r="923" spans="1:6" x14ac:dyDescent="0.3">
      <c r="A923" t="s">
        <v>135</v>
      </c>
      <c r="B923" t="s">
        <v>116</v>
      </c>
      <c r="C923">
        <v>2023</v>
      </c>
      <c r="D923" s="4">
        <v>12540.9</v>
      </c>
      <c r="E923" s="26">
        <v>45137</v>
      </c>
      <c r="F923" s="5"/>
    </row>
    <row r="924" spans="1:6" x14ac:dyDescent="0.3">
      <c r="A924" t="s">
        <v>145</v>
      </c>
      <c r="B924" t="s">
        <v>120</v>
      </c>
      <c r="C924">
        <v>2024</v>
      </c>
      <c r="D924" s="4">
        <v>10422.76</v>
      </c>
      <c r="E924" s="26">
        <v>45394</v>
      </c>
      <c r="F924" s="5"/>
    </row>
    <row r="925" spans="1:6" x14ac:dyDescent="0.3">
      <c r="A925" t="s">
        <v>150</v>
      </c>
      <c r="B925" t="s">
        <v>116</v>
      </c>
      <c r="C925">
        <v>2023</v>
      </c>
      <c r="D925" s="4">
        <v>12049.91</v>
      </c>
      <c r="E925" s="26">
        <v>45017</v>
      </c>
      <c r="F925" s="5"/>
    </row>
    <row r="926" spans="1:6" x14ac:dyDescent="0.3">
      <c r="A926" t="s">
        <v>150</v>
      </c>
      <c r="B926" t="s">
        <v>116</v>
      </c>
      <c r="C926">
        <v>2024</v>
      </c>
      <c r="D926" s="4">
        <v>834.55</v>
      </c>
      <c r="E926" s="26">
        <v>45427</v>
      </c>
      <c r="F926" s="5"/>
    </row>
    <row r="927" spans="1:6" x14ac:dyDescent="0.3">
      <c r="A927" t="s">
        <v>140</v>
      </c>
      <c r="B927" t="s">
        <v>128</v>
      </c>
      <c r="C927">
        <v>2025</v>
      </c>
      <c r="D927" s="4">
        <v>12899.13</v>
      </c>
      <c r="E927" s="26">
        <v>45711</v>
      </c>
      <c r="F927" s="5"/>
    </row>
    <row r="928" spans="1:6" x14ac:dyDescent="0.3">
      <c r="A928" t="s">
        <v>119</v>
      </c>
      <c r="B928" t="s">
        <v>120</v>
      </c>
      <c r="C928">
        <v>2023</v>
      </c>
      <c r="D928" s="4">
        <v>7829.53</v>
      </c>
      <c r="E928" s="26">
        <v>44999</v>
      </c>
      <c r="F928" s="5"/>
    </row>
    <row r="929" spans="1:6" x14ac:dyDescent="0.3">
      <c r="A929" t="s">
        <v>148</v>
      </c>
      <c r="B929" t="s">
        <v>120</v>
      </c>
      <c r="C929">
        <v>2024</v>
      </c>
      <c r="D929" s="4">
        <v>4640.87</v>
      </c>
      <c r="E929" s="26">
        <v>45386</v>
      </c>
      <c r="F929" s="5"/>
    </row>
    <row r="930" spans="1:6" x14ac:dyDescent="0.3">
      <c r="A930" t="s">
        <v>148</v>
      </c>
      <c r="B930" t="s">
        <v>120</v>
      </c>
      <c r="C930">
        <v>2024</v>
      </c>
      <c r="D930" s="4">
        <v>3943.36</v>
      </c>
      <c r="E930" s="26">
        <v>45582</v>
      </c>
      <c r="F930" s="5"/>
    </row>
    <row r="931" spans="1:6" x14ac:dyDescent="0.3">
      <c r="A931" t="s">
        <v>121</v>
      </c>
      <c r="B931" t="s">
        <v>122</v>
      </c>
      <c r="C931">
        <v>2025</v>
      </c>
      <c r="D931" s="4">
        <v>1847.73</v>
      </c>
      <c r="E931" s="26">
        <v>45690</v>
      </c>
      <c r="F931" s="5"/>
    </row>
    <row r="932" spans="1:6" x14ac:dyDescent="0.3">
      <c r="A932" t="s">
        <v>115</v>
      </c>
      <c r="B932" t="s">
        <v>116</v>
      </c>
      <c r="C932">
        <v>2024</v>
      </c>
      <c r="D932" s="4">
        <v>3279.95</v>
      </c>
      <c r="E932" s="26">
        <v>45294</v>
      </c>
      <c r="F932" s="5"/>
    </row>
    <row r="933" spans="1:6" x14ac:dyDescent="0.3">
      <c r="A933" t="s">
        <v>141</v>
      </c>
      <c r="B933" t="s">
        <v>116</v>
      </c>
      <c r="C933">
        <v>2023</v>
      </c>
      <c r="D933" s="4">
        <v>13366.3</v>
      </c>
      <c r="E933" s="26">
        <v>45021</v>
      </c>
      <c r="F933" s="5"/>
    </row>
    <row r="934" spans="1:6" x14ac:dyDescent="0.3">
      <c r="A934" t="s">
        <v>121</v>
      </c>
      <c r="B934" t="s">
        <v>122</v>
      </c>
      <c r="C934">
        <v>2025</v>
      </c>
      <c r="D934" s="4">
        <v>12151.24</v>
      </c>
      <c r="E934" s="26">
        <v>45879</v>
      </c>
      <c r="F934" s="5"/>
    </row>
    <row r="935" spans="1:6" x14ac:dyDescent="0.3">
      <c r="A935" t="s">
        <v>149</v>
      </c>
      <c r="B935" t="s">
        <v>122</v>
      </c>
      <c r="C935">
        <v>2024</v>
      </c>
      <c r="D935" s="4">
        <v>1392.12</v>
      </c>
      <c r="E935" s="26">
        <v>45597</v>
      </c>
      <c r="F935" s="5"/>
    </row>
    <row r="936" spans="1:6" x14ac:dyDescent="0.3">
      <c r="A936" t="s">
        <v>129</v>
      </c>
      <c r="B936" t="s">
        <v>120</v>
      </c>
      <c r="C936">
        <v>2023</v>
      </c>
      <c r="D936" s="4">
        <v>5291.09</v>
      </c>
      <c r="E936" s="26">
        <v>44943</v>
      </c>
      <c r="F936" s="5"/>
    </row>
    <row r="937" spans="1:6" x14ac:dyDescent="0.3">
      <c r="A937" t="s">
        <v>130</v>
      </c>
      <c r="B937" t="s">
        <v>116</v>
      </c>
      <c r="C937">
        <v>2024</v>
      </c>
      <c r="D937" s="4">
        <v>10406.15</v>
      </c>
      <c r="E937" s="26">
        <v>45549</v>
      </c>
      <c r="F937" s="5"/>
    </row>
    <row r="938" spans="1:6" x14ac:dyDescent="0.3">
      <c r="A938" t="s">
        <v>125</v>
      </c>
      <c r="B938" t="s">
        <v>122</v>
      </c>
      <c r="C938">
        <v>2025</v>
      </c>
      <c r="D938" s="4">
        <v>5282.18</v>
      </c>
      <c r="E938" s="26">
        <v>45877</v>
      </c>
      <c r="F938" s="5"/>
    </row>
    <row r="939" spans="1:6" x14ac:dyDescent="0.3">
      <c r="A939" t="s">
        <v>156</v>
      </c>
      <c r="B939" t="s">
        <v>128</v>
      </c>
      <c r="C939">
        <v>2024</v>
      </c>
      <c r="D939" s="4">
        <v>10307.99</v>
      </c>
      <c r="E939" s="26">
        <v>45327</v>
      </c>
      <c r="F939" s="5"/>
    </row>
    <row r="940" spans="1:6" x14ac:dyDescent="0.3">
      <c r="A940" t="s">
        <v>124</v>
      </c>
      <c r="B940" t="s">
        <v>120</v>
      </c>
      <c r="C940">
        <v>2024</v>
      </c>
      <c r="D940" s="4">
        <v>2277.8200000000002</v>
      </c>
      <c r="E940" s="26">
        <v>45429</v>
      </c>
      <c r="F940" s="5"/>
    </row>
    <row r="941" spans="1:6" x14ac:dyDescent="0.3">
      <c r="A941" t="s">
        <v>148</v>
      </c>
      <c r="B941" t="s">
        <v>120</v>
      </c>
      <c r="C941">
        <v>2023</v>
      </c>
      <c r="D941" s="4">
        <v>3415.37</v>
      </c>
      <c r="E941" s="26">
        <v>44975</v>
      </c>
      <c r="F941" s="5"/>
    </row>
    <row r="942" spans="1:6" x14ac:dyDescent="0.3">
      <c r="A942" t="s">
        <v>139</v>
      </c>
      <c r="B942" t="s">
        <v>120</v>
      </c>
      <c r="C942">
        <v>2023</v>
      </c>
      <c r="D942" s="4">
        <v>13323.67</v>
      </c>
      <c r="E942" s="26">
        <v>44946</v>
      </c>
      <c r="F942" s="5"/>
    </row>
    <row r="943" spans="1:6" x14ac:dyDescent="0.3">
      <c r="A943" t="s">
        <v>150</v>
      </c>
      <c r="B943" t="s">
        <v>116</v>
      </c>
      <c r="C943">
        <v>2025</v>
      </c>
      <c r="D943" s="4">
        <v>11916.28</v>
      </c>
      <c r="E943" s="26">
        <v>45697</v>
      </c>
      <c r="F943" s="5"/>
    </row>
    <row r="944" spans="1:6" x14ac:dyDescent="0.3">
      <c r="A944" t="s">
        <v>149</v>
      </c>
      <c r="B944" t="s">
        <v>122</v>
      </c>
      <c r="C944">
        <v>2023</v>
      </c>
      <c r="D944" s="4">
        <v>3031.68</v>
      </c>
      <c r="E944" s="26">
        <v>45139</v>
      </c>
      <c r="F944" s="5"/>
    </row>
    <row r="945" spans="1:6" x14ac:dyDescent="0.3">
      <c r="A945" t="s">
        <v>125</v>
      </c>
      <c r="B945" t="s">
        <v>122</v>
      </c>
      <c r="C945">
        <v>2025</v>
      </c>
      <c r="D945" s="4">
        <v>6990</v>
      </c>
      <c r="E945" s="26">
        <v>45786</v>
      </c>
      <c r="F945" s="5"/>
    </row>
    <row r="946" spans="1:6" x14ac:dyDescent="0.3">
      <c r="A946" t="s">
        <v>115</v>
      </c>
      <c r="B946" t="s">
        <v>116</v>
      </c>
      <c r="C946">
        <v>2023</v>
      </c>
      <c r="D946" s="4">
        <v>10020.799999999999</v>
      </c>
      <c r="E946" s="26">
        <v>45218</v>
      </c>
      <c r="F946" s="5"/>
    </row>
    <row r="947" spans="1:6" x14ac:dyDescent="0.3">
      <c r="A947" t="s">
        <v>158</v>
      </c>
      <c r="B947" t="s">
        <v>120</v>
      </c>
      <c r="C947">
        <v>2023</v>
      </c>
      <c r="D947" s="4">
        <v>12913.59</v>
      </c>
      <c r="E947" s="26">
        <v>45016</v>
      </c>
      <c r="F947" s="5"/>
    </row>
    <row r="948" spans="1:6" x14ac:dyDescent="0.3">
      <c r="A948" t="s">
        <v>141</v>
      </c>
      <c r="B948" t="s">
        <v>116</v>
      </c>
      <c r="C948">
        <v>2025</v>
      </c>
      <c r="D948" s="4">
        <v>9871.69</v>
      </c>
      <c r="E948" s="26">
        <v>45772</v>
      </c>
      <c r="F948" s="5"/>
    </row>
    <row r="949" spans="1:6" x14ac:dyDescent="0.3">
      <c r="A949" t="s">
        <v>140</v>
      </c>
      <c r="B949" t="s">
        <v>128</v>
      </c>
      <c r="C949">
        <v>2025</v>
      </c>
      <c r="D949" s="4">
        <v>13648.86</v>
      </c>
      <c r="E949" s="26">
        <v>45865</v>
      </c>
      <c r="F949" s="5"/>
    </row>
    <row r="950" spans="1:6" x14ac:dyDescent="0.3">
      <c r="A950" t="s">
        <v>158</v>
      </c>
      <c r="B950" t="s">
        <v>120</v>
      </c>
      <c r="C950">
        <v>2023</v>
      </c>
      <c r="D950" s="4">
        <v>7174.9</v>
      </c>
      <c r="E950" s="26">
        <v>45122</v>
      </c>
      <c r="F950" s="5"/>
    </row>
    <row r="951" spans="1:6" x14ac:dyDescent="0.3">
      <c r="A951" t="s">
        <v>155</v>
      </c>
      <c r="B951" t="s">
        <v>128</v>
      </c>
      <c r="C951">
        <v>2023</v>
      </c>
      <c r="D951" s="4">
        <v>8368.16</v>
      </c>
      <c r="E951" s="26">
        <v>45080</v>
      </c>
      <c r="F951" s="5"/>
    </row>
    <row r="952" spans="1:6" x14ac:dyDescent="0.3">
      <c r="A952" t="s">
        <v>115</v>
      </c>
      <c r="B952" t="s">
        <v>116</v>
      </c>
      <c r="C952">
        <v>2025</v>
      </c>
      <c r="D952" s="4">
        <v>9341.73</v>
      </c>
      <c r="E952" s="26">
        <v>45817</v>
      </c>
      <c r="F952" s="5"/>
    </row>
    <row r="953" spans="1:6" x14ac:dyDescent="0.3">
      <c r="A953" t="s">
        <v>137</v>
      </c>
      <c r="B953" t="s">
        <v>128</v>
      </c>
      <c r="C953">
        <v>2024</v>
      </c>
      <c r="D953" s="4">
        <v>4225.13</v>
      </c>
      <c r="E953" s="26">
        <v>45411</v>
      </c>
      <c r="F953" s="5"/>
    </row>
    <row r="954" spans="1:6" x14ac:dyDescent="0.3">
      <c r="A954" t="s">
        <v>136</v>
      </c>
      <c r="B954" t="s">
        <v>120</v>
      </c>
      <c r="C954">
        <v>2025</v>
      </c>
      <c r="D954" s="4">
        <v>9870.01</v>
      </c>
      <c r="E954" s="26">
        <v>45731</v>
      </c>
      <c r="F954" s="5"/>
    </row>
    <row r="955" spans="1:6" x14ac:dyDescent="0.3">
      <c r="A955" t="s">
        <v>136</v>
      </c>
      <c r="B955" t="s">
        <v>120</v>
      </c>
      <c r="C955">
        <v>2024</v>
      </c>
      <c r="D955" s="4">
        <v>6448.06</v>
      </c>
      <c r="E955" s="26">
        <v>45578</v>
      </c>
      <c r="F955" s="5"/>
    </row>
    <row r="956" spans="1:6" x14ac:dyDescent="0.3">
      <c r="A956" t="s">
        <v>147</v>
      </c>
      <c r="B956" t="s">
        <v>120</v>
      </c>
      <c r="C956">
        <v>2023</v>
      </c>
      <c r="D956" s="4">
        <v>13221.05</v>
      </c>
      <c r="E956" s="26">
        <v>45079</v>
      </c>
      <c r="F956" s="5"/>
    </row>
    <row r="957" spans="1:6" x14ac:dyDescent="0.3">
      <c r="A957" t="s">
        <v>137</v>
      </c>
      <c r="B957" t="s">
        <v>128</v>
      </c>
      <c r="C957">
        <v>2023</v>
      </c>
      <c r="D957" s="4">
        <v>2344.67</v>
      </c>
      <c r="E957" s="26">
        <v>45150</v>
      </c>
      <c r="F957" s="5"/>
    </row>
    <row r="958" spans="1:6" x14ac:dyDescent="0.3">
      <c r="A958" t="s">
        <v>152</v>
      </c>
      <c r="B958" t="s">
        <v>116</v>
      </c>
      <c r="C958">
        <v>2025</v>
      </c>
      <c r="D958" s="4">
        <v>6631.56</v>
      </c>
      <c r="E958" s="26">
        <v>45847</v>
      </c>
      <c r="F958" s="5"/>
    </row>
    <row r="959" spans="1:6" x14ac:dyDescent="0.3">
      <c r="A959" t="s">
        <v>148</v>
      </c>
      <c r="B959" t="s">
        <v>120</v>
      </c>
      <c r="C959">
        <v>2023</v>
      </c>
      <c r="D959" s="4">
        <v>7595.76</v>
      </c>
      <c r="E959" s="26">
        <v>45174</v>
      </c>
      <c r="F959" s="5"/>
    </row>
    <row r="960" spans="1:6" x14ac:dyDescent="0.3">
      <c r="A960" t="s">
        <v>138</v>
      </c>
      <c r="B960" t="s">
        <v>122</v>
      </c>
      <c r="C960">
        <v>2025</v>
      </c>
      <c r="D960" s="4">
        <v>4454.6499999999996</v>
      </c>
      <c r="E960" s="26">
        <v>45852</v>
      </c>
      <c r="F960" s="5"/>
    </row>
    <row r="961" spans="1:6" x14ac:dyDescent="0.3">
      <c r="A961" t="s">
        <v>135</v>
      </c>
      <c r="B961" t="s">
        <v>116</v>
      </c>
      <c r="C961">
        <v>2023</v>
      </c>
      <c r="D961" s="4">
        <v>1447.81</v>
      </c>
      <c r="E961" s="26">
        <v>45172</v>
      </c>
      <c r="F961" s="5"/>
    </row>
    <row r="962" spans="1:6" x14ac:dyDescent="0.3">
      <c r="A962" t="s">
        <v>149</v>
      </c>
      <c r="B962" t="s">
        <v>122</v>
      </c>
      <c r="C962">
        <v>2023</v>
      </c>
      <c r="D962" s="4">
        <v>3167.29</v>
      </c>
      <c r="E962" s="26">
        <v>45009</v>
      </c>
      <c r="F962" s="5"/>
    </row>
    <row r="963" spans="1:6" x14ac:dyDescent="0.3">
      <c r="A963" t="s">
        <v>136</v>
      </c>
      <c r="B963" t="s">
        <v>120</v>
      </c>
      <c r="C963">
        <v>2023</v>
      </c>
      <c r="D963" s="4">
        <v>1458.74</v>
      </c>
      <c r="E963" s="26">
        <v>45230</v>
      </c>
      <c r="F963" s="5"/>
    </row>
    <row r="964" spans="1:6" x14ac:dyDescent="0.3">
      <c r="A964" t="s">
        <v>125</v>
      </c>
      <c r="B964" t="s">
        <v>122</v>
      </c>
      <c r="C964">
        <v>2024</v>
      </c>
      <c r="D964" s="4">
        <v>5668.17</v>
      </c>
      <c r="E964" s="26">
        <v>45655</v>
      </c>
      <c r="F964" s="5"/>
    </row>
    <row r="965" spans="1:6" x14ac:dyDescent="0.3">
      <c r="A965" t="s">
        <v>115</v>
      </c>
      <c r="B965" t="s">
        <v>116</v>
      </c>
      <c r="C965">
        <v>2024</v>
      </c>
      <c r="D965" s="4">
        <v>3790.3</v>
      </c>
      <c r="E965" s="26">
        <v>45539</v>
      </c>
      <c r="F965" s="5"/>
    </row>
    <row r="966" spans="1:6" x14ac:dyDescent="0.3">
      <c r="A966" t="s">
        <v>119</v>
      </c>
      <c r="B966" t="s">
        <v>120</v>
      </c>
      <c r="C966">
        <v>2023</v>
      </c>
      <c r="D966" s="4">
        <v>13338.93</v>
      </c>
      <c r="E966" s="26">
        <v>44990</v>
      </c>
      <c r="F966" s="5"/>
    </row>
    <row r="967" spans="1:6" x14ac:dyDescent="0.3">
      <c r="A967" t="s">
        <v>151</v>
      </c>
      <c r="B967" t="s">
        <v>120</v>
      </c>
      <c r="C967">
        <v>2024</v>
      </c>
      <c r="D967" s="4">
        <v>1507.21</v>
      </c>
      <c r="E967" s="26">
        <v>45438</v>
      </c>
      <c r="F967" s="5"/>
    </row>
    <row r="968" spans="1:6" x14ac:dyDescent="0.3">
      <c r="A968" t="s">
        <v>142</v>
      </c>
      <c r="B968" t="s">
        <v>120</v>
      </c>
      <c r="C968">
        <v>2023</v>
      </c>
      <c r="D968" s="4">
        <v>1876.05</v>
      </c>
      <c r="E968" s="26">
        <v>45213</v>
      </c>
      <c r="F968" s="5"/>
    </row>
    <row r="969" spans="1:6" x14ac:dyDescent="0.3">
      <c r="A969" t="s">
        <v>115</v>
      </c>
      <c r="B969" t="s">
        <v>116</v>
      </c>
      <c r="C969">
        <v>2024</v>
      </c>
      <c r="D969" s="4">
        <v>2003.87</v>
      </c>
      <c r="E969" s="26">
        <v>45382</v>
      </c>
      <c r="F969" s="5"/>
    </row>
    <row r="970" spans="1:6" x14ac:dyDescent="0.3">
      <c r="A970" t="s">
        <v>155</v>
      </c>
      <c r="B970" t="s">
        <v>128</v>
      </c>
      <c r="C970">
        <v>2025</v>
      </c>
      <c r="D970" s="4">
        <v>9670.74</v>
      </c>
      <c r="E970" s="26">
        <v>45689</v>
      </c>
      <c r="F970" s="5"/>
    </row>
    <row r="971" spans="1:6" x14ac:dyDescent="0.3">
      <c r="A971" t="s">
        <v>158</v>
      </c>
      <c r="B971" t="s">
        <v>120</v>
      </c>
      <c r="C971">
        <v>2024</v>
      </c>
      <c r="D971" s="4">
        <v>12860.51</v>
      </c>
      <c r="E971" s="26">
        <v>45457</v>
      </c>
      <c r="F971" s="5"/>
    </row>
    <row r="972" spans="1:6" x14ac:dyDescent="0.3">
      <c r="A972" t="s">
        <v>121</v>
      </c>
      <c r="B972" t="s">
        <v>122</v>
      </c>
      <c r="C972">
        <v>2023</v>
      </c>
      <c r="D972" s="4">
        <v>13960.83</v>
      </c>
      <c r="E972" s="26">
        <v>44971</v>
      </c>
      <c r="F972" s="5"/>
    </row>
    <row r="973" spans="1:6" x14ac:dyDescent="0.3">
      <c r="A973" t="s">
        <v>118</v>
      </c>
      <c r="B973" t="s">
        <v>116</v>
      </c>
      <c r="C973">
        <v>2025</v>
      </c>
      <c r="D973" s="4">
        <v>11368.32</v>
      </c>
      <c r="E973" s="26">
        <v>45835</v>
      </c>
      <c r="F973" s="5"/>
    </row>
    <row r="974" spans="1:6" x14ac:dyDescent="0.3">
      <c r="A974" t="s">
        <v>158</v>
      </c>
      <c r="B974" t="s">
        <v>120</v>
      </c>
      <c r="C974">
        <v>2024</v>
      </c>
      <c r="D974" s="4">
        <v>1890.88</v>
      </c>
      <c r="E974" s="26">
        <v>45606</v>
      </c>
      <c r="F974" s="5"/>
    </row>
    <row r="975" spans="1:6" x14ac:dyDescent="0.3">
      <c r="A975" t="s">
        <v>129</v>
      </c>
      <c r="B975" t="s">
        <v>120</v>
      </c>
      <c r="C975">
        <v>2023</v>
      </c>
      <c r="D975" s="4">
        <v>2518.25</v>
      </c>
      <c r="E975" s="26">
        <v>45030</v>
      </c>
      <c r="F975" s="5"/>
    </row>
    <row r="976" spans="1:6" x14ac:dyDescent="0.3">
      <c r="A976" t="s">
        <v>133</v>
      </c>
      <c r="B976" t="s">
        <v>128</v>
      </c>
      <c r="C976">
        <v>2025</v>
      </c>
      <c r="D976" s="4">
        <v>11539.26</v>
      </c>
      <c r="E976" s="26">
        <v>45814</v>
      </c>
      <c r="F976" s="5"/>
    </row>
    <row r="977" spans="1:6" x14ac:dyDescent="0.3">
      <c r="A977" t="s">
        <v>155</v>
      </c>
      <c r="B977" t="s">
        <v>128</v>
      </c>
      <c r="C977">
        <v>2025</v>
      </c>
      <c r="D977" s="4">
        <v>606.86</v>
      </c>
      <c r="E977" s="26">
        <v>45943</v>
      </c>
      <c r="F977" s="5"/>
    </row>
    <row r="978" spans="1:6" x14ac:dyDescent="0.3">
      <c r="A978" t="s">
        <v>144</v>
      </c>
      <c r="B978" t="s">
        <v>116</v>
      </c>
      <c r="C978">
        <v>2023</v>
      </c>
      <c r="D978" s="4">
        <v>5084.42</v>
      </c>
      <c r="E978" s="26">
        <v>45280</v>
      </c>
      <c r="F978" s="5"/>
    </row>
    <row r="979" spans="1:6" x14ac:dyDescent="0.3">
      <c r="A979" t="s">
        <v>119</v>
      </c>
      <c r="B979" t="s">
        <v>120</v>
      </c>
      <c r="C979">
        <v>2024</v>
      </c>
      <c r="D979" s="4">
        <v>4061.99</v>
      </c>
      <c r="E979" s="26">
        <v>45490</v>
      </c>
      <c r="F979" s="5"/>
    </row>
    <row r="980" spans="1:6" x14ac:dyDescent="0.3">
      <c r="A980" t="s">
        <v>146</v>
      </c>
      <c r="B980" t="s">
        <v>128</v>
      </c>
      <c r="C980">
        <v>2023</v>
      </c>
      <c r="D980" s="4">
        <v>8674.67</v>
      </c>
      <c r="E980" s="26">
        <v>44997</v>
      </c>
      <c r="F980" s="5"/>
    </row>
    <row r="981" spans="1:6" x14ac:dyDescent="0.3">
      <c r="A981" t="s">
        <v>153</v>
      </c>
      <c r="B981" t="s">
        <v>122</v>
      </c>
      <c r="C981">
        <v>2024</v>
      </c>
      <c r="D981" s="4">
        <v>9132.44</v>
      </c>
      <c r="E981" s="26">
        <v>45430</v>
      </c>
      <c r="F981" s="5"/>
    </row>
    <row r="982" spans="1:6" x14ac:dyDescent="0.3">
      <c r="A982" t="s">
        <v>156</v>
      </c>
      <c r="B982" t="s">
        <v>128</v>
      </c>
      <c r="C982">
        <v>2025</v>
      </c>
      <c r="D982" s="4">
        <v>12382.34</v>
      </c>
      <c r="E982" s="26">
        <v>45770</v>
      </c>
      <c r="F982" s="5"/>
    </row>
    <row r="983" spans="1:6" x14ac:dyDescent="0.3">
      <c r="A983" t="s">
        <v>126</v>
      </c>
      <c r="B983" t="s">
        <v>116</v>
      </c>
      <c r="C983">
        <v>2023</v>
      </c>
      <c r="D983" s="4">
        <v>1410.56</v>
      </c>
      <c r="E983" s="26">
        <v>45051</v>
      </c>
      <c r="F983" s="5"/>
    </row>
    <row r="984" spans="1:6" x14ac:dyDescent="0.3">
      <c r="A984" t="s">
        <v>127</v>
      </c>
      <c r="B984" t="s">
        <v>128</v>
      </c>
      <c r="C984">
        <v>2023</v>
      </c>
      <c r="D984" s="4">
        <v>5985.44</v>
      </c>
      <c r="E984" s="26">
        <v>45208</v>
      </c>
      <c r="F984" s="5"/>
    </row>
    <row r="985" spans="1:6" x14ac:dyDescent="0.3">
      <c r="A985" t="s">
        <v>141</v>
      </c>
      <c r="B985" t="s">
        <v>116</v>
      </c>
      <c r="C985">
        <v>2024</v>
      </c>
      <c r="D985" s="4">
        <v>8904.41</v>
      </c>
      <c r="E985" s="26">
        <v>45437</v>
      </c>
      <c r="F985" s="5"/>
    </row>
    <row r="986" spans="1:6" x14ac:dyDescent="0.3">
      <c r="A986" t="s">
        <v>124</v>
      </c>
      <c r="B986" t="s">
        <v>120</v>
      </c>
      <c r="C986">
        <v>2023</v>
      </c>
      <c r="D986" s="4">
        <v>13853.77</v>
      </c>
      <c r="E986" s="26">
        <v>44966</v>
      </c>
      <c r="F986" s="5"/>
    </row>
    <row r="987" spans="1:6" x14ac:dyDescent="0.3">
      <c r="A987" t="s">
        <v>139</v>
      </c>
      <c r="B987" t="s">
        <v>120</v>
      </c>
      <c r="C987">
        <v>2025</v>
      </c>
      <c r="D987" s="4">
        <v>7714.35</v>
      </c>
      <c r="E987" s="26">
        <v>45909</v>
      </c>
      <c r="F987" s="5"/>
    </row>
    <row r="988" spans="1:6" x14ac:dyDescent="0.3">
      <c r="A988" t="s">
        <v>156</v>
      </c>
      <c r="B988" t="s">
        <v>128</v>
      </c>
      <c r="C988">
        <v>2024</v>
      </c>
      <c r="D988" s="4">
        <v>12794.94</v>
      </c>
      <c r="E988" s="26">
        <v>45631</v>
      </c>
      <c r="F988" s="5"/>
    </row>
    <row r="989" spans="1:6" x14ac:dyDescent="0.3">
      <c r="A989" t="s">
        <v>132</v>
      </c>
      <c r="B989" t="s">
        <v>128</v>
      </c>
      <c r="C989">
        <v>2024</v>
      </c>
      <c r="D989" s="4">
        <v>5559.66</v>
      </c>
      <c r="E989" s="26">
        <v>45585</v>
      </c>
      <c r="F989" s="5"/>
    </row>
    <row r="990" spans="1:6" x14ac:dyDescent="0.3">
      <c r="A990" t="s">
        <v>119</v>
      </c>
      <c r="B990" t="s">
        <v>120</v>
      </c>
      <c r="C990">
        <v>2023</v>
      </c>
      <c r="D990" s="4">
        <v>4600.51</v>
      </c>
      <c r="E990" s="26">
        <v>44980</v>
      </c>
      <c r="F990" s="5"/>
    </row>
    <row r="991" spans="1:6" x14ac:dyDescent="0.3">
      <c r="A991" t="s">
        <v>147</v>
      </c>
      <c r="B991" t="s">
        <v>120</v>
      </c>
      <c r="C991">
        <v>2023</v>
      </c>
      <c r="D991" s="4">
        <v>12561.55</v>
      </c>
      <c r="E991" s="26">
        <v>44987</v>
      </c>
      <c r="F991" s="5"/>
    </row>
    <row r="992" spans="1:6" x14ac:dyDescent="0.3">
      <c r="A992" t="s">
        <v>154</v>
      </c>
      <c r="B992" t="s">
        <v>128</v>
      </c>
      <c r="C992">
        <v>2023</v>
      </c>
      <c r="D992" s="4">
        <v>11359.42</v>
      </c>
      <c r="E992" s="26">
        <v>45046</v>
      </c>
      <c r="F992" s="5"/>
    </row>
    <row r="993" spans="1:6" x14ac:dyDescent="0.3">
      <c r="A993" t="s">
        <v>126</v>
      </c>
      <c r="B993" t="s">
        <v>116</v>
      </c>
      <c r="C993">
        <v>2025</v>
      </c>
      <c r="D993" s="4">
        <v>5132.57</v>
      </c>
      <c r="E993" s="26">
        <v>46011</v>
      </c>
      <c r="F993" s="5"/>
    </row>
    <row r="994" spans="1:6" x14ac:dyDescent="0.3">
      <c r="A994" t="s">
        <v>131</v>
      </c>
      <c r="B994" t="s">
        <v>122</v>
      </c>
      <c r="C994">
        <v>2024</v>
      </c>
      <c r="D994" s="4">
        <v>13640.92</v>
      </c>
      <c r="E994" s="26">
        <v>45403</v>
      </c>
      <c r="F994" s="5"/>
    </row>
    <row r="995" spans="1:6" x14ac:dyDescent="0.3">
      <c r="A995" t="s">
        <v>142</v>
      </c>
      <c r="B995" t="s">
        <v>120</v>
      </c>
      <c r="C995">
        <v>2024</v>
      </c>
      <c r="D995" s="4">
        <v>9264.73</v>
      </c>
      <c r="E995" s="26">
        <v>45434</v>
      </c>
      <c r="F995" s="5"/>
    </row>
    <row r="996" spans="1:6" x14ac:dyDescent="0.3">
      <c r="A996" t="s">
        <v>154</v>
      </c>
      <c r="B996" t="s">
        <v>128</v>
      </c>
      <c r="C996">
        <v>2025</v>
      </c>
      <c r="D996" s="4">
        <v>11464.74</v>
      </c>
      <c r="E996" s="26">
        <v>46019</v>
      </c>
      <c r="F996" s="5"/>
    </row>
    <row r="997" spans="1:6" x14ac:dyDescent="0.3">
      <c r="A997" t="s">
        <v>115</v>
      </c>
      <c r="B997" t="s">
        <v>116</v>
      </c>
      <c r="C997">
        <v>2024</v>
      </c>
      <c r="D997" s="4">
        <v>8144.55</v>
      </c>
      <c r="E997" s="26">
        <v>45376</v>
      </c>
      <c r="F997" s="5"/>
    </row>
    <row r="998" spans="1:6" x14ac:dyDescent="0.3">
      <c r="A998" t="s">
        <v>127</v>
      </c>
      <c r="B998" t="s">
        <v>128</v>
      </c>
      <c r="C998">
        <v>2024</v>
      </c>
      <c r="D998" s="4">
        <v>13105.84</v>
      </c>
      <c r="E998" s="26">
        <v>45653</v>
      </c>
      <c r="F998" s="5"/>
    </row>
    <row r="999" spans="1:6" x14ac:dyDescent="0.3">
      <c r="A999" t="s">
        <v>119</v>
      </c>
      <c r="B999" t="s">
        <v>120</v>
      </c>
      <c r="C999">
        <v>2023</v>
      </c>
      <c r="D999" s="4">
        <v>3464.41</v>
      </c>
      <c r="E999" s="26">
        <v>45287</v>
      </c>
      <c r="F999" s="5"/>
    </row>
    <row r="1000" spans="1:6" x14ac:dyDescent="0.3">
      <c r="A1000" t="s">
        <v>136</v>
      </c>
      <c r="B1000" t="s">
        <v>120</v>
      </c>
      <c r="C1000">
        <v>2025</v>
      </c>
      <c r="D1000" s="4">
        <v>12812.92</v>
      </c>
      <c r="E1000" s="26">
        <v>45661</v>
      </c>
      <c r="F1000" s="5"/>
    </row>
    <row r="1001" spans="1:6" x14ac:dyDescent="0.3">
      <c r="A1001" t="s">
        <v>159</v>
      </c>
      <c r="B1001" t="s">
        <v>116</v>
      </c>
      <c r="C1001">
        <v>2024</v>
      </c>
      <c r="D1001" s="4">
        <v>13276.31</v>
      </c>
      <c r="E1001" s="26">
        <v>45647</v>
      </c>
      <c r="F1001" s="5"/>
    </row>
    <row r="1002" spans="1:6" x14ac:dyDescent="0.3">
      <c r="A1002" t="s">
        <v>133</v>
      </c>
      <c r="B1002" t="s">
        <v>128</v>
      </c>
      <c r="C1002">
        <v>2023</v>
      </c>
      <c r="D1002" s="4">
        <v>7970.9</v>
      </c>
      <c r="E1002" s="26">
        <v>45218</v>
      </c>
      <c r="F1002" s="5"/>
    </row>
    <row r="1003" spans="1:6" x14ac:dyDescent="0.3">
      <c r="A1003" t="s">
        <v>118</v>
      </c>
      <c r="B1003" t="s">
        <v>116</v>
      </c>
      <c r="C1003">
        <v>2025</v>
      </c>
      <c r="D1003" s="4">
        <v>7681.32</v>
      </c>
      <c r="E1003" s="26">
        <v>45935</v>
      </c>
      <c r="F1003" s="5"/>
    </row>
    <row r="1004" spans="1:6" x14ac:dyDescent="0.3">
      <c r="A1004" t="s">
        <v>119</v>
      </c>
      <c r="B1004" t="s">
        <v>120</v>
      </c>
      <c r="C1004">
        <v>2025</v>
      </c>
      <c r="D1004" s="4">
        <v>723.9</v>
      </c>
      <c r="E1004" s="26">
        <v>45931</v>
      </c>
      <c r="F1004" s="5"/>
    </row>
    <row r="1005" spans="1:6" x14ac:dyDescent="0.3">
      <c r="A1005" t="s">
        <v>115</v>
      </c>
      <c r="B1005" t="s">
        <v>116</v>
      </c>
      <c r="C1005">
        <v>2024</v>
      </c>
      <c r="D1005" s="4">
        <v>8502.9500000000007</v>
      </c>
      <c r="E1005" s="26">
        <v>45403</v>
      </c>
      <c r="F1005" s="5"/>
    </row>
    <row r="1006" spans="1:6" x14ac:dyDescent="0.3">
      <c r="A1006" t="s">
        <v>159</v>
      </c>
      <c r="B1006" t="s">
        <v>116</v>
      </c>
      <c r="C1006">
        <v>2025</v>
      </c>
      <c r="D1006" s="4">
        <v>6796.25</v>
      </c>
      <c r="E1006" s="26">
        <v>46005</v>
      </c>
      <c r="F1006" s="5"/>
    </row>
    <row r="1007" spans="1:6" x14ac:dyDescent="0.3">
      <c r="A1007" t="s">
        <v>117</v>
      </c>
      <c r="B1007" t="s">
        <v>116</v>
      </c>
      <c r="C1007">
        <v>2024</v>
      </c>
      <c r="D1007" s="4">
        <v>11328.95</v>
      </c>
      <c r="E1007" s="26">
        <v>45339</v>
      </c>
      <c r="F1007" s="5"/>
    </row>
    <row r="1008" spans="1:6" x14ac:dyDescent="0.3">
      <c r="A1008" t="s">
        <v>117</v>
      </c>
      <c r="B1008" t="s">
        <v>116</v>
      </c>
      <c r="C1008">
        <v>2023</v>
      </c>
      <c r="D1008" s="4">
        <v>12879.17</v>
      </c>
      <c r="E1008" s="26">
        <v>45290</v>
      </c>
      <c r="F1008" s="5"/>
    </row>
    <row r="1009" spans="1:6" x14ac:dyDescent="0.3">
      <c r="A1009" t="s">
        <v>136</v>
      </c>
      <c r="B1009" t="s">
        <v>120</v>
      </c>
      <c r="C1009">
        <v>2023</v>
      </c>
      <c r="D1009" s="4">
        <v>502.4</v>
      </c>
      <c r="E1009" s="26">
        <v>45048</v>
      </c>
      <c r="F1009" s="5"/>
    </row>
    <row r="1010" spans="1:6" x14ac:dyDescent="0.3">
      <c r="A1010" t="s">
        <v>131</v>
      </c>
      <c r="B1010" t="s">
        <v>122</v>
      </c>
      <c r="C1010">
        <v>2023</v>
      </c>
      <c r="D1010" s="4">
        <v>10886.26</v>
      </c>
      <c r="E1010" s="26">
        <v>45217</v>
      </c>
      <c r="F1010" s="5"/>
    </row>
    <row r="1011" spans="1:6" x14ac:dyDescent="0.3">
      <c r="A1011" t="s">
        <v>141</v>
      </c>
      <c r="B1011" t="s">
        <v>116</v>
      </c>
      <c r="C1011">
        <v>2025</v>
      </c>
      <c r="D1011" s="4">
        <v>13455.71</v>
      </c>
      <c r="E1011" s="26">
        <v>45674</v>
      </c>
      <c r="F1011" s="5"/>
    </row>
    <row r="1012" spans="1:6" x14ac:dyDescent="0.3">
      <c r="A1012" t="s">
        <v>140</v>
      </c>
      <c r="B1012" t="s">
        <v>128</v>
      </c>
      <c r="C1012">
        <v>2025</v>
      </c>
      <c r="D1012" s="4">
        <v>8287.0300000000007</v>
      </c>
      <c r="E1012" s="26">
        <v>45737</v>
      </c>
      <c r="F1012" s="5"/>
    </row>
    <row r="1013" spans="1:6" x14ac:dyDescent="0.3">
      <c r="A1013" t="s">
        <v>117</v>
      </c>
      <c r="B1013" t="s">
        <v>116</v>
      </c>
      <c r="C1013">
        <v>2024</v>
      </c>
      <c r="D1013" s="4">
        <v>4651.92</v>
      </c>
      <c r="E1013" s="26">
        <v>45545</v>
      </c>
      <c r="F1013" s="5"/>
    </row>
    <row r="1014" spans="1:6" x14ac:dyDescent="0.3">
      <c r="A1014" t="s">
        <v>152</v>
      </c>
      <c r="B1014" t="s">
        <v>116</v>
      </c>
      <c r="C1014">
        <v>2025</v>
      </c>
      <c r="D1014" s="4">
        <v>11127.43</v>
      </c>
      <c r="E1014" s="26">
        <v>45821</v>
      </c>
      <c r="F1014" s="5"/>
    </row>
    <row r="1015" spans="1:6" x14ac:dyDescent="0.3">
      <c r="A1015" t="s">
        <v>156</v>
      </c>
      <c r="B1015" t="s">
        <v>128</v>
      </c>
      <c r="C1015">
        <v>2024</v>
      </c>
      <c r="D1015" s="4">
        <v>2604</v>
      </c>
      <c r="E1015" s="26">
        <v>45576</v>
      </c>
      <c r="F1015" s="5"/>
    </row>
    <row r="1016" spans="1:6" x14ac:dyDescent="0.3">
      <c r="A1016" t="s">
        <v>123</v>
      </c>
      <c r="B1016" t="s">
        <v>120</v>
      </c>
      <c r="C1016">
        <v>2024</v>
      </c>
      <c r="D1016" s="4">
        <v>3280.67</v>
      </c>
      <c r="E1016" s="26">
        <v>45657</v>
      </c>
      <c r="F1016" s="5"/>
    </row>
    <row r="1017" spans="1:6" x14ac:dyDescent="0.3">
      <c r="A1017" t="s">
        <v>131</v>
      </c>
      <c r="B1017" t="s">
        <v>122</v>
      </c>
      <c r="C1017">
        <v>2023</v>
      </c>
      <c r="D1017" s="4">
        <v>5421.7</v>
      </c>
      <c r="E1017" s="26">
        <v>45286</v>
      </c>
      <c r="F1017" s="5"/>
    </row>
    <row r="1018" spans="1:6" x14ac:dyDescent="0.3">
      <c r="A1018" t="s">
        <v>130</v>
      </c>
      <c r="B1018" t="s">
        <v>116</v>
      </c>
      <c r="C1018">
        <v>2023</v>
      </c>
      <c r="D1018" s="4">
        <v>2652.37</v>
      </c>
      <c r="E1018" s="26">
        <v>45187</v>
      </c>
      <c r="F1018" s="5"/>
    </row>
    <row r="1019" spans="1:6" x14ac:dyDescent="0.3">
      <c r="A1019" t="s">
        <v>150</v>
      </c>
      <c r="B1019" t="s">
        <v>116</v>
      </c>
      <c r="C1019">
        <v>2025</v>
      </c>
      <c r="D1019" s="4">
        <v>11940.45</v>
      </c>
      <c r="E1019" s="26">
        <v>45728</v>
      </c>
      <c r="F1019" s="5"/>
    </row>
    <row r="1020" spans="1:6" x14ac:dyDescent="0.3">
      <c r="A1020" t="s">
        <v>133</v>
      </c>
      <c r="B1020" t="s">
        <v>128</v>
      </c>
      <c r="C1020">
        <v>2023</v>
      </c>
      <c r="D1020" s="4">
        <v>2712.73</v>
      </c>
      <c r="E1020" s="26">
        <v>44993</v>
      </c>
      <c r="F1020" s="5"/>
    </row>
    <row r="1021" spans="1:6" x14ac:dyDescent="0.3">
      <c r="A1021" t="s">
        <v>136</v>
      </c>
      <c r="B1021" t="s">
        <v>120</v>
      </c>
      <c r="C1021">
        <v>2024</v>
      </c>
      <c r="D1021" s="4">
        <v>9027.1299999999992</v>
      </c>
      <c r="E1021" s="26">
        <v>45379</v>
      </c>
      <c r="F1021" s="5"/>
    </row>
    <row r="1022" spans="1:6" x14ac:dyDescent="0.3">
      <c r="A1022" t="s">
        <v>142</v>
      </c>
      <c r="B1022" t="s">
        <v>120</v>
      </c>
      <c r="C1022">
        <v>2025</v>
      </c>
      <c r="D1022" s="4">
        <v>2140.88</v>
      </c>
      <c r="E1022" s="26">
        <v>45943</v>
      </c>
      <c r="F1022" s="5"/>
    </row>
    <row r="1023" spans="1:6" x14ac:dyDescent="0.3">
      <c r="A1023" t="s">
        <v>121</v>
      </c>
      <c r="B1023" t="s">
        <v>122</v>
      </c>
      <c r="C1023">
        <v>2024</v>
      </c>
      <c r="D1023" s="4">
        <v>4985.9799999999996</v>
      </c>
      <c r="E1023" s="26">
        <v>45414</v>
      </c>
      <c r="F1023" s="5"/>
    </row>
    <row r="1024" spans="1:6" x14ac:dyDescent="0.3">
      <c r="A1024" t="s">
        <v>136</v>
      </c>
      <c r="B1024" t="s">
        <v>120</v>
      </c>
      <c r="C1024">
        <v>2023</v>
      </c>
      <c r="D1024" s="4">
        <v>8979.3799999999992</v>
      </c>
      <c r="E1024" s="26">
        <v>45270</v>
      </c>
      <c r="F1024" s="5"/>
    </row>
    <row r="1025" spans="1:6" x14ac:dyDescent="0.3">
      <c r="A1025" t="s">
        <v>158</v>
      </c>
      <c r="B1025" t="s">
        <v>120</v>
      </c>
      <c r="C1025">
        <v>2024</v>
      </c>
      <c r="D1025" s="4">
        <v>6363.49</v>
      </c>
      <c r="E1025" s="26">
        <v>45614</v>
      </c>
      <c r="F1025" s="5"/>
    </row>
    <row r="1026" spans="1:6" x14ac:dyDescent="0.3">
      <c r="A1026" t="s">
        <v>135</v>
      </c>
      <c r="B1026" t="s">
        <v>116</v>
      </c>
      <c r="C1026">
        <v>2024</v>
      </c>
      <c r="D1026" s="4">
        <v>3643.66</v>
      </c>
      <c r="E1026" s="26">
        <v>45356</v>
      </c>
      <c r="F1026" s="5"/>
    </row>
    <row r="1027" spans="1:6" x14ac:dyDescent="0.3">
      <c r="A1027" t="s">
        <v>121</v>
      </c>
      <c r="B1027" t="s">
        <v>122</v>
      </c>
      <c r="C1027">
        <v>2024</v>
      </c>
      <c r="D1027" s="4">
        <v>3741.88</v>
      </c>
      <c r="E1027" s="26">
        <v>45644</v>
      </c>
      <c r="F1027" s="5"/>
    </row>
    <row r="1028" spans="1:6" x14ac:dyDescent="0.3">
      <c r="A1028" t="s">
        <v>142</v>
      </c>
      <c r="B1028" t="s">
        <v>120</v>
      </c>
      <c r="C1028">
        <v>2023</v>
      </c>
      <c r="D1028" s="4">
        <v>864.43</v>
      </c>
      <c r="E1028" s="26">
        <v>44929</v>
      </c>
      <c r="F1028" s="5"/>
    </row>
    <row r="1029" spans="1:6" x14ac:dyDescent="0.3">
      <c r="A1029" t="s">
        <v>151</v>
      </c>
      <c r="B1029" t="s">
        <v>120</v>
      </c>
      <c r="C1029">
        <v>2025</v>
      </c>
      <c r="D1029" s="4">
        <v>13573.61</v>
      </c>
      <c r="E1029" s="26">
        <v>45786</v>
      </c>
      <c r="F1029" s="5"/>
    </row>
    <row r="1030" spans="1:6" x14ac:dyDescent="0.3">
      <c r="A1030" t="s">
        <v>148</v>
      </c>
      <c r="B1030" t="s">
        <v>120</v>
      </c>
      <c r="C1030">
        <v>2025</v>
      </c>
      <c r="D1030" s="4">
        <v>12368.44</v>
      </c>
      <c r="E1030" s="26">
        <v>45936</v>
      </c>
      <c r="F1030" s="5"/>
    </row>
    <row r="1031" spans="1:6" x14ac:dyDescent="0.3">
      <c r="A1031" t="s">
        <v>139</v>
      </c>
      <c r="B1031" t="s">
        <v>120</v>
      </c>
      <c r="C1031">
        <v>2025</v>
      </c>
      <c r="D1031" s="4">
        <v>1599.71</v>
      </c>
      <c r="E1031" s="26">
        <v>45695</v>
      </c>
      <c r="F1031" s="5"/>
    </row>
    <row r="1032" spans="1:6" x14ac:dyDescent="0.3">
      <c r="A1032" t="s">
        <v>126</v>
      </c>
      <c r="B1032" t="s">
        <v>116</v>
      </c>
      <c r="C1032">
        <v>2024</v>
      </c>
      <c r="D1032" s="4">
        <v>2444.66</v>
      </c>
      <c r="E1032" s="26">
        <v>45388</v>
      </c>
      <c r="F1032" s="5"/>
    </row>
    <row r="1033" spans="1:6" x14ac:dyDescent="0.3">
      <c r="A1033" t="s">
        <v>121</v>
      </c>
      <c r="B1033" t="s">
        <v>122</v>
      </c>
      <c r="C1033">
        <v>2023</v>
      </c>
      <c r="D1033" s="4">
        <v>4269.74</v>
      </c>
      <c r="E1033" s="26">
        <v>44995</v>
      </c>
      <c r="F1033" s="5"/>
    </row>
    <row r="1034" spans="1:6" x14ac:dyDescent="0.3">
      <c r="A1034" t="s">
        <v>136</v>
      </c>
      <c r="B1034" t="s">
        <v>120</v>
      </c>
      <c r="C1034">
        <v>2024</v>
      </c>
      <c r="D1034" s="4">
        <v>13332.94</v>
      </c>
      <c r="E1034" s="26">
        <v>45461</v>
      </c>
      <c r="F1034" s="5"/>
    </row>
    <row r="1035" spans="1:6" x14ac:dyDescent="0.3">
      <c r="A1035" t="s">
        <v>121</v>
      </c>
      <c r="B1035" t="s">
        <v>122</v>
      </c>
      <c r="C1035">
        <v>2024</v>
      </c>
      <c r="D1035" s="4">
        <v>2547.4499999999998</v>
      </c>
      <c r="E1035" s="26">
        <v>45627</v>
      </c>
      <c r="F1035" s="5"/>
    </row>
    <row r="1036" spans="1:6" x14ac:dyDescent="0.3">
      <c r="A1036" t="s">
        <v>127</v>
      </c>
      <c r="B1036" t="s">
        <v>128</v>
      </c>
      <c r="C1036">
        <v>2023</v>
      </c>
      <c r="D1036" s="4">
        <v>10301.39</v>
      </c>
      <c r="E1036" s="26">
        <v>45256</v>
      </c>
      <c r="F1036" s="5"/>
    </row>
    <row r="1037" spans="1:6" x14ac:dyDescent="0.3">
      <c r="A1037" t="s">
        <v>123</v>
      </c>
      <c r="B1037" t="s">
        <v>120</v>
      </c>
      <c r="C1037">
        <v>2023</v>
      </c>
      <c r="D1037" s="4">
        <v>4863.72</v>
      </c>
      <c r="E1037" s="26">
        <v>45117</v>
      </c>
      <c r="F1037" s="5"/>
    </row>
    <row r="1038" spans="1:6" x14ac:dyDescent="0.3">
      <c r="A1038" t="s">
        <v>153</v>
      </c>
      <c r="B1038" t="s">
        <v>122</v>
      </c>
      <c r="C1038">
        <v>2025</v>
      </c>
      <c r="D1038" s="4">
        <v>9922.16</v>
      </c>
      <c r="E1038" s="26">
        <v>45915</v>
      </c>
      <c r="F1038" s="5"/>
    </row>
    <row r="1039" spans="1:6" x14ac:dyDescent="0.3">
      <c r="A1039" t="s">
        <v>144</v>
      </c>
      <c r="B1039" t="s">
        <v>116</v>
      </c>
      <c r="C1039">
        <v>2023</v>
      </c>
      <c r="D1039" s="4">
        <v>8580.98</v>
      </c>
      <c r="E1039" s="26">
        <v>45264</v>
      </c>
      <c r="F1039" s="5"/>
    </row>
    <row r="1040" spans="1:6" x14ac:dyDescent="0.3">
      <c r="A1040" t="s">
        <v>144</v>
      </c>
      <c r="B1040" t="s">
        <v>116</v>
      </c>
      <c r="C1040">
        <v>2023</v>
      </c>
      <c r="D1040" s="4">
        <v>939.07</v>
      </c>
      <c r="E1040" s="26">
        <v>45248</v>
      </c>
      <c r="F1040" s="5"/>
    </row>
    <row r="1041" spans="1:6" x14ac:dyDescent="0.3">
      <c r="A1041" t="s">
        <v>117</v>
      </c>
      <c r="B1041" t="s">
        <v>116</v>
      </c>
      <c r="C1041">
        <v>2024</v>
      </c>
      <c r="D1041" s="4">
        <v>13646.7</v>
      </c>
      <c r="E1041" s="26">
        <v>45347</v>
      </c>
      <c r="F1041" s="5"/>
    </row>
    <row r="1042" spans="1:6" x14ac:dyDescent="0.3">
      <c r="A1042" t="s">
        <v>148</v>
      </c>
      <c r="B1042" t="s">
        <v>120</v>
      </c>
      <c r="C1042">
        <v>2024</v>
      </c>
      <c r="D1042" s="4">
        <v>9316.25</v>
      </c>
      <c r="E1042" s="26">
        <v>45470</v>
      </c>
      <c r="F1042" s="5"/>
    </row>
    <row r="1043" spans="1:6" x14ac:dyDescent="0.3">
      <c r="A1043" t="s">
        <v>149</v>
      </c>
      <c r="B1043" t="s">
        <v>122</v>
      </c>
      <c r="C1043">
        <v>2024</v>
      </c>
      <c r="D1043" s="4">
        <v>1523.64</v>
      </c>
      <c r="E1043" s="26">
        <v>45413</v>
      </c>
      <c r="F1043" s="5"/>
    </row>
    <row r="1044" spans="1:6" x14ac:dyDescent="0.3">
      <c r="A1044" t="s">
        <v>155</v>
      </c>
      <c r="B1044" t="s">
        <v>128</v>
      </c>
      <c r="C1044">
        <v>2025</v>
      </c>
      <c r="D1044" s="4">
        <v>2319.54</v>
      </c>
      <c r="E1044" s="26">
        <v>45932</v>
      </c>
      <c r="F1044" s="5"/>
    </row>
    <row r="1045" spans="1:6" x14ac:dyDescent="0.3">
      <c r="A1045" t="s">
        <v>140</v>
      </c>
      <c r="B1045" t="s">
        <v>128</v>
      </c>
      <c r="C1045">
        <v>2023</v>
      </c>
      <c r="D1045" s="4">
        <v>6100.96</v>
      </c>
      <c r="E1045" s="26">
        <v>44934</v>
      </c>
      <c r="F1045" s="5"/>
    </row>
    <row r="1046" spans="1:6" x14ac:dyDescent="0.3">
      <c r="A1046" t="s">
        <v>130</v>
      </c>
      <c r="B1046" t="s">
        <v>116</v>
      </c>
      <c r="C1046">
        <v>2025</v>
      </c>
      <c r="D1046" s="4">
        <v>2955.51</v>
      </c>
      <c r="E1046" s="26">
        <v>45910</v>
      </c>
      <c r="F1046" s="5"/>
    </row>
    <row r="1047" spans="1:6" x14ac:dyDescent="0.3">
      <c r="A1047" t="s">
        <v>159</v>
      </c>
      <c r="B1047" t="s">
        <v>116</v>
      </c>
      <c r="C1047">
        <v>2024</v>
      </c>
      <c r="D1047" s="4">
        <v>2557.48</v>
      </c>
      <c r="E1047" s="26">
        <v>45350</v>
      </c>
      <c r="F1047" s="5"/>
    </row>
    <row r="1048" spans="1:6" x14ac:dyDescent="0.3">
      <c r="A1048" t="s">
        <v>130</v>
      </c>
      <c r="B1048" t="s">
        <v>116</v>
      </c>
      <c r="C1048">
        <v>2023</v>
      </c>
      <c r="D1048" s="4">
        <v>6735.27</v>
      </c>
      <c r="E1048" s="26">
        <v>45094</v>
      </c>
      <c r="F1048" s="5"/>
    </row>
    <row r="1049" spans="1:6" x14ac:dyDescent="0.3">
      <c r="A1049" t="s">
        <v>145</v>
      </c>
      <c r="B1049" t="s">
        <v>120</v>
      </c>
      <c r="C1049">
        <v>2024</v>
      </c>
      <c r="D1049" s="4">
        <v>11031.3</v>
      </c>
      <c r="E1049" s="26">
        <v>45558</v>
      </c>
      <c r="F1049" s="5"/>
    </row>
    <row r="1050" spans="1:6" x14ac:dyDescent="0.3">
      <c r="A1050" t="s">
        <v>126</v>
      </c>
      <c r="B1050" t="s">
        <v>116</v>
      </c>
      <c r="C1050">
        <v>2025</v>
      </c>
      <c r="D1050" s="4">
        <v>12549.31</v>
      </c>
      <c r="E1050" s="26">
        <v>45928</v>
      </c>
      <c r="F1050" s="5"/>
    </row>
    <row r="1051" spans="1:6" x14ac:dyDescent="0.3">
      <c r="A1051" t="s">
        <v>135</v>
      </c>
      <c r="B1051" t="s">
        <v>116</v>
      </c>
      <c r="C1051">
        <v>2023</v>
      </c>
      <c r="D1051" s="4">
        <v>9057.76</v>
      </c>
      <c r="E1051" s="26">
        <v>45113</v>
      </c>
      <c r="F1051" s="5"/>
    </row>
    <row r="1052" spans="1:6" x14ac:dyDescent="0.3">
      <c r="A1052" t="s">
        <v>127</v>
      </c>
      <c r="B1052" t="s">
        <v>128</v>
      </c>
      <c r="C1052">
        <v>2024</v>
      </c>
      <c r="D1052" s="4">
        <v>5320.08</v>
      </c>
      <c r="E1052" s="26">
        <v>45305</v>
      </c>
      <c r="F1052" s="5"/>
    </row>
    <row r="1053" spans="1:6" x14ac:dyDescent="0.3">
      <c r="A1053" t="s">
        <v>127</v>
      </c>
      <c r="B1053" t="s">
        <v>128</v>
      </c>
      <c r="C1053">
        <v>2025</v>
      </c>
      <c r="D1053" s="4">
        <v>2774.84</v>
      </c>
      <c r="E1053" s="26">
        <v>45683</v>
      </c>
      <c r="F1053" s="5"/>
    </row>
    <row r="1054" spans="1:6" x14ac:dyDescent="0.3">
      <c r="A1054" t="s">
        <v>134</v>
      </c>
      <c r="B1054" t="s">
        <v>120</v>
      </c>
      <c r="C1054">
        <v>2024</v>
      </c>
      <c r="D1054" s="4">
        <v>6268.42</v>
      </c>
      <c r="E1054" s="26">
        <v>45466</v>
      </c>
      <c r="F1054" s="5"/>
    </row>
    <row r="1055" spans="1:6" x14ac:dyDescent="0.3">
      <c r="A1055" t="s">
        <v>135</v>
      </c>
      <c r="B1055" t="s">
        <v>116</v>
      </c>
      <c r="C1055">
        <v>2024</v>
      </c>
      <c r="D1055" s="4">
        <v>11751.69</v>
      </c>
      <c r="E1055" s="26">
        <v>45390</v>
      </c>
      <c r="F1055" s="5"/>
    </row>
    <row r="1056" spans="1:6" x14ac:dyDescent="0.3">
      <c r="A1056" t="s">
        <v>133</v>
      </c>
      <c r="B1056" t="s">
        <v>128</v>
      </c>
      <c r="C1056">
        <v>2023</v>
      </c>
      <c r="D1056" s="4">
        <v>2285.6</v>
      </c>
      <c r="E1056" s="26">
        <v>45053</v>
      </c>
      <c r="F1056" s="5"/>
    </row>
    <row r="1057" spans="1:6" x14ac:dyDescent="0.3">
      <c r="A1057" t="s">
        <v>142</v>
      </c>
      <c r="B1057" t="s">
        <v>120</v>
      </c>
      <c r="C1057">
        <v>2023</v>
      </c>
      <c r="D1057" s="4">
        <v>9420.35</v>
      </c>
      <c r="E1057" s="26">
        <v>45102</v>
      </c>
      <c r="F1057" s="5"/>
    </row>
    <row r="1058" spans="1:6" x14ac:dyDescent="0.3">
      <c r="A1058" t="s">
        <v>124</v>
      </c>
      <c r="B1058" t="s">
        <v>120</v>
      </c>
      <c r="C1058">
        <v>2025</v>
      </c>
      <c r="D1058" s="4">
        <v>13595.74</v>
      </c>
      <c r="E1058" s="26">
        <v>45774</v>
      </c>
      <c r="F1058" s="5"/>
    </row>
    <row r="1059" spans="1:6" x14ac:dyDescent="0.3">
      <c r="A1059" t="s">
        <v>131</v>
      </c>
      <c r="B1059" t="s">
        <v>122</v>
      </c>
      <c r="C1059">
        <v>2024</v>
      </c>
      <c r="D1059" s="4">
        <v>7839.71</v>
      </c>
      <c r="E1059" s="26">
        <v>45392</v>
      </c>
      <c r="F1059" s="5"/>
    </row>
    <row r="1060" spans="1:6" x14ac:dyDescent="0.3">
      <c r="A1060" t="s">
        <v>127</v>
      </c>
      <c r="B1060" t="s">
        <v>128</v>
      </c>
      <c r="C1060">
        <v>2025</v>
      </c>
      <c r="D1060" s="4">
        <v>5977.12</v>
      </c>
      <c r="E1060" s="26">
        <v>45997</v>
      </c>
      <c r="F1060" s="5"/>
    </row>
    <row r="1061" spans="1:6" x14ac:dyDescent="0.3">
      <c r="A1061" t="s">
        <v>124</v>
      </c>
      <c r="B1061" t="s">
        <v>120</v>
      </c>
      <c r="C1061">
        <v>2025</v>
      </c>
      <c r="D1061" s="4">
        <v>8103.46</v>
      </c>
      <c r="E1061" s="26">
        <v>45899</v>
      </c>
      <c r="F1061" s="5"/>
    </row>
    <row r="1062" spans="1:6" x14ac:dyDescent="0.3">
      <c r="A1062" t="s">
        <v>125</v>
      </c>
      <c r="B1062" t="s">
        <v>122</v>
      </c>
      <c r="C1062">
        <v>2025</v>
      </c>
      <c r="D1062" s="4">
        <v>4324.16</v>
      </c>
      <c r="E1062" s="26">
        <v>45902</v>
      </c>
      <c r="F1062" s="5"/>
    </row>
    <row r="1063" spans="1:6" x14ac:dyDescent="0.3">
      <c r="A1063" t="s">
        <v>155</v>
      </c>
      <c r="B1063" t="s">
        <v>128</v>
      </c>
      <c r="C1063">
        <v>2023</v>
      </c>
      <c r="D1063" s="4">
        <v>7129</v>
      </c>
      <c r="E1063" s="26">
        <v>44998</v>
      </c>
      <c r="F1063" s="5"/>
    </row>
    <row r="1064" spans="1:6" x14ac:dyDescent="0.3">
      <c r="A1064" t="s">
        <v>141</v>
      </c>
      <c r="B1064" t="s">
        <v>116</v>
      </c>
      <c r="C1064">
        <v>2023</v>
      </c>
      <c r="D1064" s="4">
        <v>1859.89</v>
      </c>
      <c r="E1064" s="26">
        <v>45228</v>
      </c>
      <c r="F1064" s="5"/>
    </row>
    <row r="1065" spans="1:6" x14ac:dyDescent="0.3">
      <c r="A1065" t="s">
        <v>151</v>
      </c>
      <c r="B1065" t="s">
        <v>120</v>
      </c>
      <c r="C1065">
        <v>2023</v>
      </c>
      <c r="D1065" s="4">
        <v>13297.05</v>
      </c>
      <c r="E1065" s="26">
        <v>45281</v>
      </c>
      <c r="F1065" s="5"/>
    </row>
    <row r="1066" spans="1:6" x14ac:dyDescent="0.3">
      <c r="A1066" t="s">
        <v>152</v>
      </c>
      <c r="B1066" t="s">
        <v>116</v>
      </c>
      <c r="C1066">
        <v>2024</v>
      </c>
      <c r="D1066" s="4">
        <v>11356.76</v>
      </c>
      <c r="E1066" s="26">
        <v>45360</v>
      </c>
      <c r="F1066" s="5"/>
    </row>
    <row r="1067" spans="1:6" x14ac:dyDescent="0.3">
      <c r="A1067" t="s">
        <v>137</v>
      </c>
      <c r="B1067" t="s">
        <v>128</v>
      </c>
      <c r="C1067">
        <v>2023</v>
      </c>
      <c r="D1067" s="4">
        <v>6042.57</v>
      </c>
      <c r="E1067" s="26">
        <v>45014</v>
      </c>
      <c r="F1067" s="5"/>
    </row>
    <row r="1068" spans="1:6" x14ac:dyDescent="0.3">
      <c r="A1068" t="s">
        <v>144</v>
      </c>
      <c r="B1068" t="s">
        <v>116</v>
      </c>
      <c r="C1068">
        <v>2024</v>
      </c>
      <c r="D1068" s="4">
        <v>13962.32</v>
      </c>
      <c r="E1068" s="26">
        <v>45340</v>
      </c>
      <c r="F1068" s="5"/>
    </row>
    <row r="1069" spans="1:6" x14ac:dyDescent="0.3">
      <c r="A1069" t="s">
        <v>146</v>
      </c>
      <c r="B1069" t="s">
        <v>128</v>
      </c>
      <c r="C1069">
        <v>2024</v>
      </c>
      <c r="D1069" s="4">
        <v>4612.54</v>
      </c>
      <c r="E1069" s="26">
        <v>45455</v>
      </c>
      <c r="F1069" s="5"/>
    </row>
    <row r="1070" spans="1:6" x14ac:dyDescent="0.3">
      <c r="A1070" t="s">
        <v>121</v>
      </c>
      <c r="B1070" t="s">
        <v>122</v>
      </c>
      <c r="C1070">
        <v>2023</v>
      </c>
      <c r="D1070" s="4">
        <v>5555.77</v>
      </c>
      <c r="E1070" s="26">
        <v>45105</v>
      </c>
      <c r="F1070" s="5"/>
    </row>
    <row r="1071" spans="1:6" x14ac:dyDescent="0.3">
      <c r="A1071" t="s">
        <v>155</v>
      </c>
      <c r="B1071" t="s">
        <v>128</v>
      </c>
      <c r="C1071">
        <v>2024</v>
      </c>
      <c r="D1071" s="4">
        <v>12021.41</v>
      </c>
      <c r="E1071" s="26">
        <v>45594</v>
      </c>
      <c r="F1071" s="5"/>
    </row>
    <row r="1072" spans="1:6" x14ac:dyDescent="0.3">
      <c r="A1072" t="s">
        <v>141</v>
      </c>
      <c r="B1072" t="s">
        <v>116</v>
      </c>
      <c r="C1072">
        <v>2025</v>
      </c>
      <c r="D1072" s="4">
        <v>12856.83</v>
      </c>
      <c r="E1072" s="26">
        <v>45865</v>
      </c>
      <c r="F1072" s="5"/>
    </row>
    <row r="1073" spans="1:6" x14ac:dyDescent="0.3">
      <c r="A1073" t="s">
        <v>150</v>
      </c>
      <c r="B1073" t="s">
        <v>116</v>
      </c>
      <c r="C1073">
        <v>2025</v>
      </c>
      <c r="D1073" s="4">
        <v>10987.26</v>
      </c>
      <c r="E1073" s="26">
        <v>45997</v>
      </c>
      <c r="F1073" s="5"/>
    </row>
    <row r="1074" spans="1:6" x14ac:dyDescent="0.3">
      <c r="A1074" t="s">
        <v>145</v>
      </c>
      <c r="B1074" t="s">
        <v>120</v>
      </c>
      <c r="C1074">
        <v>2025</v>
      </c>
      <c r="D1074" s="4">
        <v>2265.06</v>
      </c>
      <c r="E1074" s="26">
        <v>45775</v>
      </c>
      <c r="F1074" s="5"/>
    </row>
    <row r="1075" spans="1:6" x14ac:dyDescent="0.3">
      <c r="A1075" t="s">
        <v>133</v>
      </c>
      <c r="B1075" t="s">
        <v>128</v>
      </c>
      <c r="C1075">
        <v>2023</v>
      </c>
      <c r="D1075" s="4">
        <v>12964.01</v>
      </c>
      <c r="E1075" s="26">
        <v>45132</v>
      </c>
      <c r="F1075" s="5"/>
    </row>
    <row r="1076" spans="1:6" x14ac:dyDescent="0.3">
      <c r="A1076" t="s">
        <v>133</v>
      </c>
      <c r="B1076" t="s">
        <v>128</v>
      </c>
      <c r="C1076">
        <v>2023</v>
      </c>
      <c r="D1076" s="4">
        <v>11043.29</v>
      </c>
      <c r="E1076" s="26">
        <v>45133</v>
      </c>
      <c r="F1076" s="5"/>
    </row>
    <row r="1077" spans="1:6" x14ac:dyDescent="0.3">
      <c r="A1077" t="s">
        <v>124</v>
      </c>
      <c r="B1077" t="s">
        <v>120</v>
      </c>
      <c r="C1077">
        <v>2024</v>
      </c>
      <c r="D1077" s="4">
        <v>12314.93</v>
      </c>
      <c r="E1077" s="26">
        <v>45631</v>
      </c>
      <c r="F1077" s="5"/>
    </row>
    <row r="1078" spans="1:6" x14ac:dyDescent="0.3">
      <c r="A1078" t="s">
        <v>135</v>
      </c>
      <c r="B1078" t="s">
        <v>116</v>
      </c>
      <c r="C1078">
        <v>2025</v>
      </c>
      <c r="D1078" s="4">
        <v>9236.07</v>
      </c>
      <c r="E1078" s="26">
        <v>45711</v>
      </c>
      <c r="F1078" s="5"/>
    </row>
    <row r="1079" spans="1:6" x14ac:dyDescent="0.3">
      <c r="A1079" t="s">
        <v>133</v>
      </c>
      <c r="B1079" t="s">
        <v>128</v>
      </c>
      <c r="C1079">
        <v>2025</v>
      </c>
      <c r="D1079" s="4">
        <v>717.03</v>
      </c>
      <c r="E1079" s="26">
        <v>45895</v>
      </c>
      <c r="F1079" s="5"/>
    </row>
    <row r="1080" spans="1:6" x14ac:dyDescent="0.3">
      <c r="A1080" t="s">
        <v>154</v>
      </c>
      <c r="B1080" t="s">
        <v>128</v>
      </c>
      <c r="C1080">
        <v>2025</v>
      </c>
      <c r="D1080" s="4">
        <v>2185.17</v>
      </c>
      <c r="E1080" s="26">
        <v>45752</v>
      </c>
      <c r="F1080" s="5"/>
    </row>
    <row r="1081" spans="1:6" x14ac:dyDescent="0.3">
      <c r="A1081" t="s">
        <v>143</v>
      </c>
      <c r="B1081" t="s">
        <v>122</v>
      </c>
      <c r="C1081">
        <v>2025</v>
      </c>
      <c r="D1081" s="4">
        <v>735.2</v>
      </c>
      <c r="E1081" s="26">
        <v>45749</v>
      </c>
      <c r="F1081" s="5"/>
    </row>
    <row r="1082" spans="1:6" x14ac:dyDescent="0.3">
      <c r="A1082" t="s">
        <v>117</v>
      </c>
      <c r="B1082" t="s">
        <v>116</v>
      </c>
      <c r="C1082">
        <v>2024</v>
      </c>
      <c r="D1082" s="4">
        <v>880.22</v>
      </c>
      <c r="E1082" s="26">
        <v>45413</v>
      </c>
      <c r="F1082" s="5"/>
    </row>
    <row r="1083" spans="1:6" x14ac:dyDescent="0.3">
      <c r="A1083" t="s">
        <v>126</v>
      </c>
      <c r="B1083" t="s">
        <v>116</v>
      </c>
      <c r="C1083">
        <v>2024</v>
      </c>
      <c r="D1083" s="4">
        <v>12579.03</v>
      </c>
      <c r="E1083" s="26">
        <v>45477</v>
      </c>
      <c r="F1083" s="5"/>
    </row>
    <row r="1084" spans="1:6" x14ac:dyDescent="0.3">
      <c r="A1084" t="s">
        <v>159</v>
      </c>
      <c r="B1084" t="s">
        <v>116</v>
      </c>
      <c r="C1084">
        <v>2024</v>
      </c>
      <c r="D1084" s="4">
        <v>11479.93</v>
      </c>
      <c r="E1084" s="26">
        <v>45618</v>
      </c>
      <c r="F1084" s="5"/>
    </row>
    <row r="1085" spans="1:6" x14ac:dyDescent="0.3">
      <c r="A1085" t="s">
        <v>149</v>
      </c>
      <c r="B1085" t="s">
        <v>122</v>
      </c>
      <c r="C1085">
        <v>2024</v>
      </c>
      <c r="D1085" s="4">
        <v>4068.78</v>
      </c>
      <c r="E1085" s="26">
        <v>45563</v>
      </c>
      <c r="F1085" s="5"/>
    </row>
    <row r="1086" spans="1:6" x14ac:dyDescent="0.3">
      <c r="A1086" t="s">
        <v>156</v>
      </c>
      <c r="B1086" t="s">
        <v>128</v>
      </c>
      <c r="C1086">
        <v>2023</v>
      </c>
      <c r="D1086" s="4">
        <v>13620.45</v>
      </c>
      <c r="E1086" s="26">
        <v>45128</v>
      </c>
      <c r="F1086" s="5"/>
    </row>
    <row r="1087" spans="1:6" x14ac:dyDescent="0.3">
      <c r="A1087" t="s">
        <v>147</v>
      </c>
      <c r="B1087" t="s">
        <v>120</v>
      </c>
      <c r="C1087">
        <v>2023</v>
      </c>
      <c r="D1087" s="4">
        <v>4346.63</v>
      </c>
      <c r="E1087" s="26">
        <v>45202</v>
      </c>
      <c r="F1087" s="5"/>
    </row>
    <row r="1088" spans="1:6" x14ac:dyDescent="0.3">
      <c r="A1088" t="s">
        <v>151</v>
      </c>
      <c r="B1088" t="s">
        <v>120</v>
      </c>
      <c r="C1088">
        <v>2024</v>
      </c>
      <c r="D1088" s="4">
        <v>3918</v>
      </c>
      <c r="E1088" s="26">
        <v>45584</v>
      </c>
      <c r="F1088" s="5"/>
    </row>
    <row r="1089" spans="1:6" x14ac:dyDescent="0.3">
      <c r="A1089" t="s">
        <v>148</v>
      </c>
      <c r="B1089" t="s">
        <v>120</v>
      </c>
      <c r="C1089">
        <v>2023</v>
      </c>
      <c r="D1089" s="4">
        <v>2793.51</v>
      </c>
      <c r="E1089" s="26">
        <v>45109</v>
      </c>
      <c r="F1089" s="5"/>
    </row>
    <row r="1090" spans="1:6" x14ac:dyDescent="0.3">
      <c r="A1090" t="s">
        <v>138</v>
      </c>
      <c r="B1090" t="s">
        <v>122</v>
      </c>
      <c r="C1090">
        <v>2025</v>
      </c>
      <c r="D1090" s="4">
        <v>10425.040000000001</v>
      </c>
      <c r="E1090" s="26">
        <v>45760</v>
      </c>
      <c r="F1090" s="5"/>
    </row>
    <row r="1091" spans="1:6" x14ac:dyDescent="0.3">
      <c r="A1091" t="s">
        <v>141</v>
      </c>
      <c r="B1091" t="s">
        <v>116</v>
      </c>
      <c r="C1091">
        <v>2025</v>
      </c>
      <c r="D1091" s="4">
        <v>11530.04</v>
      </c>
      <c r="E1091" s="26">
        <v>45692</v>
      </c>
      <c r="F1091" s="5"/>
    </row>
    <row r="1092" spans="1:6" x14ac:dyDescent="0.3">
      <c r="A1092" t="s">
        <v>132</v>
      </c>
      <c r="B1092" t="s">
        <v>128</v>
      </c>
      <c r="C1092">
        <v>2023</v>
      </c>
      <c r="D1092" s="4">
        <v>1105.51</v>
      </c>
      <c r="E1092" s="26">
        <v>45252</v>
      </c>
      <c r="F1092" s="5"/>
    </row>
    <row r="1093" spans="1:6" x14ac:dyDescent="0.3">
      <c r="A1093" t="s">
        <v>132</v>
      </c>
      <c r="B1093" t="s">
        <v>128</v>
      </c>
      <c r="C1093">
        <v>2025</v>
      </c>
      <c r="D1093" s="4">
        <v>2071.9699999999998</v>
      </c>
      <c r="E1093" s="26">
        <v>45753</v>
      </c>
      <c r="F1093" s="5"/>
    </row>
    <row r="1094" spans="1:6" x14ac:dyDescent="0.3">
      <c r="A1094" t="s">
        <v>141</v>
      </c>
      <c r="B1094" t="s">
        <v>116</v>
      </c>
      <c r="C1094">
        <v>2023</v>
      </c>
      <c r="D1094" s="4">
        <v>2597.58</v>
      </c>
      <c r="E1094" s="26">
        <v>44986</v>
      </c>
      <c r="F1094" s="5"/>
    </row>
    <row r="1095" spans="1:6" x14ac:dyDescent="0.3">
      <c r="A1095" t="s">
        <v>118</v>
      </c>
      <c r="B1095" t="s">
        <v>116</v>
      </c>
      <c r="C1095">
        <v>2023</v>
      </c>
      <c r="D1095" s="4">
        <v>3642.97</v>
      </c>
      <c r="E1095" s="26">
        <v>45045</v>
      </c>
      <c r="F1095" s="5"/>
    </row>
    <row r="1096" spans="1:6" x14ac:dyDescent="0.3">
      <c r="A1096" t="s">
        <v>129</v>
      </c>
      <c r="B1096" t="s">
        <v>120</v>
      </c>
      <c r="C1096">
        <v>2023</v>
      </c>
      <c r="D1096" s="4">
        <v>12868.83</v>
      </c>
      <c r="E1096" s="26">
        <v>45030</v>
      </c>
      <c r="F1096" s="5"/>
    </row>
    <row r="1097" spans="1:6" x14ac:dyDescent="0.3">
      <c r="A1097" t="s">
        <v>118</v>
      </c>
      <c r="B1097" t="s">
        <v>116</v>
      </c>
      <c r="C1097">
        <v>2024</v>
      </c>
      <c r="D1097" s="4">
        <v>5283.26</v>
      </c>
      <c r="E1097" s="26">
        <v>45488</v>
      </c>
      <c r="F1097" s="5"/>
    </row>
    <row r="1098" spans="1:6" x14ac:dyDescent="0.3">
      <c r="A1098" t="s">
        <v>129</v>
      </c>
      <c r="B1098" t="s">
        <v>120</v>
      </c>
      <c r="C1098">
        <v>2025</v>
      </c>
      <c r="D1098" s="4">
        <v>5677.8</v>
      </c>
      <c r="E1098" s="26">
        <v>45961</v>
      </c>
      <c r="F1098" s="5"/>
    </row>
    <row r="1099" spans="1:6" x14ac:dyDescent="0.3">
      <c r="A1099" t="s">
        <v>145</v>
      </c>
      <c r="B1099" t="s">
        <v>120</v>
      </c>
      <c r="C1099">
        <v>2023</v>
      </c>
      <c r="D1099" s="4">
        <v>3538.75</v>
      </c>
      <c r="E1099" s="26">
        <v>44989</v>
      </c>
      <c r="F1099" s="5"/>
    </row>
    <row r="1100" spans="1:6" x14ac:dyDescent="0.3">
      <c r="A1100" t="s">
        <v>156</v>
      </c>
      <c r="B1100" t="s">
        <v>128</v>
      </c>
      <c r="C1100">
        <v>2025</v>
      </c>
      <c r="D1100" s="4">
        <v>2650.65</v>
      </c>
      <c r="E1100" s="26">
        <v>45840</v>
      </c>
      <c r="F1100" s="5"/>
    </row>
    <row r="1101" spans="1:6" x14ac:dyDescent="0.3">
      <c r="A1101" t="s">
        <v>126</v>
      </c>
      <c r="B1101" t="s">
        <v>116</v>
      </c>
      <c r="C1101">
        <v>2024</v>
      </c>
      <c r="D1101" s="4">
        <v>4950.6400000000003</v>
      </c>
      <c r="E1101" s="26">
        <v>45643</v>
      </c>
      <c r="F1101" s="5"/>
    </row>
    <row r="1102" spans="1:6" x14ac:dyDescent="0.3">
      <c r="A1102" t="s">
        <v>135</v>
      </c>
      <c r="B1102" t="s">
        <v>116</v>
      </c>
      <c r="C1102">
        <v>2023</v>
      </c>
      <c r="D1102" s="4">
        <v>4133.96</v>
      </c>
      <c r="E1102" s="26">
        <v>45112</v>
      </c>
      <c r="F1102" s="5"/>
    </row>
    <row r="1103" spans="1:6" x14ac:dyDescent="0.3">
      <c r="A1103" t="s">
        <v>127</v>
      </c>
      <c r="B1103" t="s">
        <v>128</v>
      </c>
      <c r="C1103">
        <v>2023</v>
      </c>
      <c r="D1103" s="4">
        <v>2448.12</v>
      </c>
      <c r="E1103" s="26">
        <v>45028</v>
      </c>
      <c r="F1103" s="5"/>
    </row>
    <row r="1104" spans="1:6" x14ac:dyDescent="0.3">
      <c r="A1104" t="s">
        <v>133</v>
      </c>
      <c r="B1104" t="s">
        <v>128</v>
      </c>
      <c r="C1104">
        <v>2024</v>
      </c>
      <c r="D1104" s="4">
        <v>12028.13</v>
      </c>
      <c r="E1104" s="26">
        <v>45365</v>
      </c>
      <c r="F1104" s="5"/>
    </row>
    <row r="1105" spans="1:6" x14ac:dyDescent="0.3">
      <c r="A1105" t="s">
        <v>147</v>
      </c>
      <c r="B1105" t="s">
        <v>120</v>
      </c>
      <c r="C1105">
        <v>2024</v>
      </c>
      <c r="D1105" s="4">
        <v>3913.35</v>
      </c>
      <c r="E1105" s="26">
        <v>45350</v>
      </c>
      <c r="F1105" s="5"/>
    </row>
    <row r="1106" spans="1:6" x14ac:dyDescent="0.3">
      <c r="A1106" t="s">
        <v>148</v>
      </c>
      <c r="B1106" t="s">
        <v>120</v>
      </c>
      <c r="C1106">
        <v>2025</v>
      </c>
      <c r="D1106" s="4">
        <v>476.72</v>
      </c>
      <c r="E1106" s="26">
        <v>45978</v>
      </c>
      <c r="F1106" s="5"/>
    </row>
    <row r="1107" spans="1:6" x14ac:dyDescent="0.3">
      <c r="A1107" t="s">
        <v>150</v>
      </c>
      <c r="B1107" t="s">
        <v>116</v>
      </c>
      <c r="C1107">
        <v>2025</v>
      </c>
      <c r="D1107" s="4">
        <v>12778.91</v>
      </c>
      <c r="E1107" s="26">
        <v>45897</v>
      </c>
      <c r="F1107" s="5"/>
    </row>
    <row r="1108" spans="1:6" x14ac:dyDescent="0.3">
      <c r="A1108" t="s">
        <v>119</v>
      </c>
      <c r="B1108" t="s">
        <v>120</v>
      </c>
      <c r="C1108">
        <v>2023</v>
      </c>
      <c r="D1108" s="4">
        <v>3288.03</v>
      </c>
      <c r="E1108" s="26">
        <v>44944</v>
      </c>
      <c r="F1108" s="5"/>
    </row>
    <row r="1109" spans="1:6" x14ac:dyDescent="0.3">
      <c r="A1109" t="s">
        <v>143</v>
      </c>
      <c r="B1109" t="s">
        <v>122</v>
      </c>
      <c r="C1109">
        <v>2024</v>
      </c>
      <c r="D1109" s="4">
        <v>10035.82</v>
      </c>
      <c r="E1109" s="26">
        <v>45552</v>
      </c>
      <c r="F1109" s="5"/>
    </row>
    <row r="1110" spans="1:6" x14ac:dyDescent="0.3">
      <c r="A1110" t="s">
        <v>154</v>
      </c>
      <c r="B1110" t="s">
        <v>128</v>
      </c>
      <c r="C1110">
        <v>2025</v>
      </c>
      <c r="D1110" s="4">
        <v>12557.67</v>
      </c>
      <c r="E1110" s="26">
        <v>45794</v>
      </c>
      <c r="F1110" s="5"/>
    </row>
    <row r="1111" spans="1:6" x14ac:dyDescent="0.3">
      <c r="A1111" t="s">
        <v>139</v>
      </c>
      <c r="B1111" t="s">
        <v>120</v>
      </c>
      <c r="C1111">
        <v>2025</v>
      </c>
      <c r="D1111" s="4">
        <v>3677.58</v>
      </c>
      <c r="E1111" s="26">
        <v>45867</v>
      </c>
      <c r="F1111" s="5"/>
    </row>
    <row r="1112" spans="1:6" x14ac:dyDescent="0.3">
      <c r="A1112" t="s">
        <v>129</v>
      </c>
      <c r="B1112" t="s">
        <v>120</v>
      </c>
      <c r="C1112">
        <v>2024</v>
      </c>
      <c r="D1112" s="4">
        <v>9545.31</v>
      </c>
      <c r="E1112" s="26">
        <v>45545</v>
      </c>
      <c r="F1112" s="5"/>
    </row>
    <row r="1113" spans="1:6" x14ac:dyDescent="0.3">
      <c r="A1113" t="s">
        <v>153</v>
      </c>
      <c r="B1113" t="s">
        <v>122</v>
      </c>
      <c r="C1113">
        <v>2025</v>
      </c>
      <c r="D1113" s="4">
        <v>8265.92</v>
      </c>
      <c r="E1113" s="26">
        <v>45740</v>
      </c>
      <c r="F1113" s="5"/>
    </row>
    <row r="1114" spans="1:6" x14ac:dyDescent="0.3">
      <c r="A1114" t="s">
        <v>150</v>
      </c>
      <c r="B1114" t="s">
        <v>116</v>
      </c>
      <c r="C1114">
        <v>2025</v>
      </c>
      <c r="D1114" s="4">
        <v>13992.13</v>
      </c>
      <c r="E1114" s="26">
        <v>45974</v>
      </c>
      <c r="F1114" s="5"/>
    </row>
    <row r="1115" spans="1:6" x14ac:dyDescent="0.3">
      <c r="A1115" t="s">
        <v>140</v>
      </c>
      <c r="B1115" t="s">
        <v>128</v>
      </c>
      <c r="C1115">
        <v>2024</v>
      </c>
      <c r="D1115" s="4">
        <v>4318.97</v>
      </c>
      <c r="E1115" s="26">
        <v>45505</v>
      </c>
      <c r="F1115" s="5"/>
    </row>
    <row r="1116" spans="1:6" x14ac:dyDescent="0.3">
      <c r="A1116" t="s">
        <v>142</v>
      </c>
      <c r="B1116" t="s">
        <v>120</v>
      </c>
      <c r="C1116">
        <v>2025</v>
      </c>
      <c r="D1116" s="4">
        <v>1080.95</v>
      </c>
      <c r="E1116" s="26">
        <v>45913</v>
      </c>
      <c r="F1116" s="5"/>
    </row>
    <row r="1117" spans="1:6" x14ac:dyDescent="0.3">
      <c r="A1117" t="s">
        <v>154</v>
      </c>
      <c r="B1117" t="s">
        <v>128</v>
      </c>
      <c r="C1117">
        <v>2024</v>
      </c>
      <c r="D1117" s="4">
        <v>12088.58</v>
      </c>
      <c r="E1117" s="26">
        <v>45592</v>
      </c>
      <c r="F1117" s="5"/>
    </row>
    <row r="1118" spans="1:6" x14ac:dyDescent="0.3">
      <c r="A1118" t="s">
        <v>135</v>
      </c>
      <c r="B1118" t="s">
        <v>116</v>
      </c>
      <c r="C1118">
        <v>2024</v>
      </c>
      <c r="D1118" s="4">
        <v>2799.37</v>
      </c>
      <c r="E1118" s="26">
        <v>45538</v>
      </c>
      <c r="F1118" s="5"/>
    </row>
    <row r="1119" spans="1:6" x14ac:dyDescent="0.3">
      <c r="A1119" t="s">
        <v>141</v>
      </c>
      <c r="B1119" t="s">
        <v>116</v>
      </c>
      <c r="C1119">
        <v>2024</v>
      </c>
      <c r="D1119" s="4">
        <v>12615.68</v>
      </c>
      <c r="E1119" s="26">
        <v>45419</v>
      </c>
      <c r="F1119" s="5"/>
    </row>
    <row r="1120" spans="1:6" x14ac:dyDescent="0.3">
      <c r="A1120" t="s">
        <v>143</v>
      </c>
      <c r="B1120" t="s">
        <v>122</v>
      </c>
      <c r="C1120">
        <v>2025</v>
      </c>
      <c r="D1120" s="4">
        <v>9315.32</v>
      </c>
      <c r="E1120" s="26">
        <v>45754</v>
      </c>
      <c r="F1120" s="5"/>
    </row>
    <row r="1121" spans="1:6" x14ac:dyDescent="0.3">
      <c r="A1121" t="s">
        <v>137</v>
      </c>
      <c r="B1121" t="s">
        <v>128</v>
      </c>
      <c r="C1121">
        <v>2023</v>
      </c>
      <c r="D1121" s="4">
        <v>9244.5300000000007</v>
      </c>
      <c r="E1121" s="26">
        <v>44979</v>
      </c>
      <c r="F1121" s="5"/>
    </row>
    <row r="1122" spans="1:6" x14ac:dyDescent="0.3">
      <c r="A1122" t="s">
        <v>130</v>
      </c>
      <c r="B1122" t="s">
        <v>116</v>
      </c>
      <c r="C1122">
        <v>2024</v>
      </c>
      <c r="D1122" s="4">
        <v>12715.38</v>
      </c>
      <c r="E1122" s="26">
        <v>45458</v>
      </c>
      <c r="F1122" s="5"/>
    </row>
    <row r="1123" spans="1:6" x14ac:dyDescent="0.3">
      <c r="A1123" t="s">
        <v>155</v>
      </c>
      <c r="B1123" t="s">
        <v>128</v>
      </c>
      <c r="C1123">
        <v>2025</v>
      </c>
      <c r="D1123" s="4">
        <v>10366.9</v>
      </c>
      <c r="E1123" s="26">
        <v>45722</v>
      </c>
      <c r="F1123" s="5"/>
    </row>
    <row r="1124" spans="1:6" x14ac:dyDescent="0.3">
      <c r="A1124" t="s">
        <v>131</v>
      </c>
      <c r="B1124" t="s">
        <v>122</v>
      </c>
      <c r="C1124">
        <v>2024</v>
      </c>
      <c r="D1124" s="4">
        <v>4935.71</v>
      </c>
      <c r="E1124" s="26">
        <v>45315</v>
      </c>
      <c r="F1124" s="5"/>
    </row>
    <row r="1125" spans="1:6" x14ac:dyDescent="0.3">
      <c r="A1125" t="s">
        <v>147</v>
      </c>
      <c r="B1125" t="s">
        <v>120</v>
      </c>
      <c r="C1125">
        <v>2025</v>
      </c>
      <c r="D1125" s="4">
        <v>9008.73</v>
      </c>
      <c r="E1125" s="26">
        <v>46021</v>
      </c>
      <c r="F1125" s="5"/>
    </row>
    <row r="1126" spans="1:6" x14ac:dyDescent="0.3">
      <c r="A1126" t="s">
        <v>126</v>
      </c>
      <c r="B1126" t="s">
        <v>116</v>
      </c>
      <c r="C1126">
        <v>2025</v>
      </c>
      <c r="D1126" s="4">
        <v>7200.95</v>
      </c>
      <c r="E1126" s="26">
        <v>45661</v>
      </c>
      <c r="F1126" s="5"/>
    </row>
    <row r="1127" spans="1:6" x14ac:dyDescent="0.3">
      <c r="A1127" t="s">
        <v>152</v>
      </c>
      <c r="B1127" t="s">
        <v>116</v>
      </c>
      <c r="C1127">
        <v>2024</v>
      </c>
      <c r="D1127" s="4">
        <v>4254.22</v>
      </c>
      <c r="E1127" s="26">
        <v>45297</v>
      </c>
      <c r="F1127" s="5"/>
    </row>
    <row r="1128" spans="1:6" x14ac:dyDescent="0.3">
      <c r="A1128" t="s">
        <v>126</v>
      </c>
      <c r="B1128" t="s">
        <v>116</v>
      </c>
      <c r="C1128">
        <v>2023</v>
      </c>
      <c r="D1128" s="4">
        <v>10424.68</v>
      </c>
      <c r="E1128" s="26">
        <v>45189</v>
      </c>
      <c r="F1128" s="5"/>
    </row>
    <row r="1129" spans="1:6" x14ac:dyDescent="0.3">
      <c r="A1129" t="s">
        <v>123</v>
      </c>
      <c r="B1129" t="s">
        <v>120</v>
      </c>
      <c r="C1129">
        <v>2024</v>
      </c>
      <c r="D1129" s="4">
        <v>13267.54</v>
      </c>
      <c r="E1129" s="26">
        <v>45301</v>
      </c>
      <c r="F1129" s="5"/>
    </row>
    <row r="1130" spans="1:6" x14ac:dyDescent="0.3">
      <c r="A1130" t="s">
        <v>117</v>
      </c>
      <c r="B1130" t="s">
        <v>116</v>
      </c>
      <c r="C1130">
        <v>2023</v>
      </c>
      <c r="D1130" s="4">
        <v>3267.1</v>
      </c>
      <c r="E1130" s="26">
        <v>45109</v>
      </c>
      <c r="F1130" s="5"/>
    </row>
    <row r="1131" spans="1:6" x14ac:dyDescent="0.3">
      <c r="A1131" t="s">
        <v>147</v>
      </c>
      <c r="B1131" t="s">
        <v>120</v>
      </c>
      <c r="C1131">
        <v>2024</v>
      </c>
      <c r="D1131" s="4">
        <v>6002.52</v>
      </c>
      <c r="E1131" s="26">
        <v>45555</v>
      </c>
      <c r="F1131" s="5"/>
    </row>
    <row r="1132" spans="1:6" x14ac:dyDescent="0.3">
      <c r="A1132" t="s">
        <v>117</v>
      </c>
      <c r="B1132" t="s">
        <v>116</v>
      </c>
      <c r="C1132">
        <v>2025</v>
      </c>
      <c r="D1132" s="4">
        <v>3795.72</v>
      </c>
      <c r="E1132" s="26">
        <v>45688</v>
      </c>
      <c r="F1132" s="5"/>
    </row>
    <row r="1133" spans="1:6" x14ac:dyDescent="0.3">
      <c r="A1133" t="s">
        <v>130</v>
      </c>
      <c r="B1133" t="s">
        <v>116</v>
      </c>
      <c r="C1133">
        <v>2025</v>
      </c>
      <c r="D1133" s="4">
        <v>11946.75</v>
      </c>
      <c r="E1133" s="26">
        <v>45876</v>
      </c>
      <c r="F1133" s="5"/>
    </row>
    <row r="1134" spans="1:6" x14ac:dyDescent="0.3">
      <c r="A1134" t="s">
        <v>126</v>
      </c>
      <c r="B1134" t="s">
        <v>116</v>
      </c>
      <c r="C1134">
        <v>2023</v>
      </c>
      <c r="D1134" s="4">
        <v>12156.23</v>
      </c>
      <c r="E1134" s="26">
        <v>45036</v>
      </c>
      <c r="F1134" s="5"/>
    </row>
    <row r="1135" spans="1:6" x14ac:dyDescent="0.3">
      <c r="A1135" t="s">
        <v>131</v>
      </c>
      <c r="B1135" t="s">
        <v>122</v>
      </c>
      <c r="C1135">
        <v>2023</v>
      </c>
      <c r="D1135" s="4">
        <v>6716.63</v>
      </c>
      <c r="E1135" s="26">
        <v>45072</v>
      </c>
      <c r="F1135" s="5"/>
    </row>
    <row r="1136" spans="1:6" x14ac:dyDescent="0.3">
      <c r="A1136" t="s">
        <v>118</v>
      </c>
      <c r="B1136" t="s">
        <v>116</v>
      </c>
      <c r="C1136">
        <v>2025</v>
      </c>
      <c r="D1136" s="4">
        <v>1853.46</v>
      </c>
      <c r="E1136" s="26">
        <v>45951</v>
      </c>
      <c r="F1136" s="5"/>
    </row>
    <row r="1137" spans="1:6" x14ac:dyDescent="0.3">
      <c r="A1137" t="s">
        <v>127</v>
      </c>
      <c r="B1137" t="s">
        <v>128</v>
      </c>
      <c r="C1137">
        <v>2025</v>
      </c>
      <c r="D1137" s="4">
        <v>4317.3100000000004</v>
      </c>
      <c r="E1137" s="26">
        <v>46012</v>
      </c>
      <c r="F1137" s="5"/>
    </row>
    <row r="1138" spans="1:6" x14ac:dyDescent="0.3">
      <c r="A1138" t="s">
        <v>115</v>
      </c>
      <c r="B1138" t="s">
        <v>116</v>
      </c>
      <c r="C1138">
        <v>2023</v>
      </c>
      <c r="D1138" s="4">
        <v>2095.64</v>
      </c>
      <c r="E1138" s="26">
        <v>45235</v>
      </c>
      <c r="F1138" s="5"/>
    </row>
    <row r="1139" spans="1:6" x14ac:dyDescent="0.3">
      <c r="A1139" t="s">
        <v>118</v>
      </c>
      <c r="B1139" t="s">
        <v>116</v>
      </c>
      <c r="C1139">
        <v>2024</v>
      </c>
      <c r="D1139" s="4">
        <v>5846.85</v>
      </c>
      <c r="E1139" s="26">
        <v>45628</v>
      </c>
      <c r="F1139" s="5"/>
    </row>
    <row r="1140" spans="1:6" x14ac:dyDescent="0.3">
      <c r="A1140" t="s">
        <v>133</v>
      </c>
      <c r="B1140" t="s">
        <v>128</v>
      </c>
      <c r="C1140">
        <v>2025</v>
      </c>
      <c r="D1140" s="4">
        <v>2176.4899999999998</v>
      </c>
      <c r="E1140" s="26">
        <v>45864</v>
      </c>
      <c r="F1140" s="5"/>
    </row>
    <row r="1141" spans="1:6" x14ac:dyDescent="0.3">
      <c r="A1141" t="s">
        <v>119</v>
      </c>
      <c r="B1141" t="s">
        <v>120</v>
      </c>
      <c r="C1141">
        <v>2023</v>
      </c>
      <c r="D1141" s="4">
        <v>6928.62</v>
      </c>
      <c r="E1141" s="26">
        <v>45092</v>
      </c>
      <c r="F1141" s="5"/>
    </row>
    <row r="1142" spans="1:6" x14ac:dyDescent="0.3">
      <c r="A1142" t="s">
        <v>119</v>
      </c>
      <c r="B1142" t="s">
        <v>120</v>
      </c>
      <c r="C1142">
        <v>2024</v>
      </c>
      <c r="D1142" s="4">
        <v>8956.09</v>
      </c>
      <c r="E1142" s="26">
        <v>45568</v>
      </c>
      <c r="F1142" s="5"/>
    </row>
    <row r="1143" spans="1:6" x14ac:dyDescent="0.3">
      <c r="A1143" t="s">
        <v>150</v>
      </c>
      <c r="B1143" t="s">
        <v>116</v>
      </c>
      <c r="C1143">
        <v>2025</v>
      </c>
      <c r="D1143" s="4">
        <v>3974.68</v>
      </c>
      <c r="E1143" s="26">
        <v>45852</v>
      </c>
      <c r="F1143" s="5"/>
    </row>
    <row r="1144" spans="1:6" x14ac:dyDescent="0.3">
      <c r="A1144" t="s">
        <v>152</v>
      </c>
      <c r="B1144" t="s">
        <v>116</v>
      </c>
      <c r="C1144">
        <v>2023</v>
      </c>
      <c r="D1144" s="4">
        <v>6956.16</v>
      </c>
      <c r="E1144" s="26">
        <v>45251</v>
      </c>
      <c r="F1144" s="5"/>
    </row>
    <row r="1145" spans="1:6" x14ac:dyDescent="0.3">
      <c r="A1145" t="s">
        <v>158</v>
      </c>
      <c r="B1145" t="s">
        <v>120</v>
      </c>
      <c r="C1145">
        <v>2023</v>
      </c>
      <c r="D1145" s="4">
        <v>8679.82</v>
      </c>
      <c r="E1145" s="26">
        <v>45192</v>
      </c>
      <c r="F1145" s="5"/>
    </row>
    <row r="1146" spans="1:6" x14ac:dyDescent="0.3">
      <c r="A1146" t="s">
        <v>144</v>
      </c>
      <c r="B1146" t="s">
        <v>116</v>
      </c>
      <c r="C1146">
        <v>2025</v>
      </c>
      <c r="D1146" s="4">
        <v>6120.55</v>
      </c>
      <c r="E1146" s="26">
        <v>45753</v>
      </c>
      <c r="F1146" s="5"/>
    </row>
    <row r="1147" spans="1:6" x14ac:dyDescent="0.3">
      <c r="A1147" t="s">
        <v>126</v>
      </c>
      <c r="B1147" t="s">
        <v>116</v>
      </c>
      <c r="C1147">
        <v>2025</v>
      </c>
      <c r="D1147" s="4">
        <v>264.43</v>
      </c>
      <c r="E1147" s="26">
        <v>45712</v>
      </c>
      <c r="F1147" s="5"/>
    </row>
    <row r="1148" spans="1:6" x14ac:dyDescent="0.3">
      <c r="A1148" t="s">
        <v>124</v>
      </c>
      <c r="B1148" t="s">
        <v>120</v>
      </c>
      <c r="C1148">
        <v>2024</v>
      </c>
      <c r="D1148" s="4">
        <v>10283.1</v>
      </c>
      <c r="E1148" s="26">
        <v>45335</v>
      </c>
      <c r="F1148" s="5"/>
    </row>
    <row r="1149" spans="1:6" x14ac:dyDescent="0.3">
      <c r="A1149" t="s">
        <v>150</v>
      </c>
      <c r="B1149" t="s">
        <v>116</v>
      </c>
      <c r="C1149">
        <v>2024</v>
      </c>
      <c r="D1149" s="4">
        <v>10644.5</v>
      </c>
      <c r="E1149" s="26">
        <v>45586</v>
      </c>
      <c r="F1149" s="5"/>
    </row>
    <row r="1150" spans="1:6" x14ac:dyDescent="0.3">
      <c r="A1150" t="s">
        <v>141</v>
      </c>
      <c r="B1150" t="s">
        <v>116</v>
      </c>
      <c r="C1150">
        <v>2024</v>
      </c>
      <c r="D1150" s="4">
        <v>447.24</v>
      </c>
      <c r="E1150" s="26">
        <v>45317</v>
      </c>
      <c r="F1150" s="5"/>
    </row>
    <row r="1151" spans="1:6" x14ac:dyDescent="0.3">
      <c r="A1151" t="s">
        <v>150</v>
      </c>
      <c r="B1151" t="s">
        <v>116</v>
      </c>
      <c r="C1151">
        <v>2024</v>
      </c>
      <c r="D1151" s="4">
        <v>3322.47</v>
      </c>
      <c r="E1151" s="26">
        <v>45436</v>
      </c>
      <c r="F1151" s="5"/>
    </row>
    <row r="1152" spans="1:6" x14ac:dyDescent="0.3">
      <c r="A1152" t="s">
        <v>139</v>
      </c>
      <c r="B1152" t="s">
        <v>120</v>
      </c>
      <c r="C1152">
        <v>2024</v>
      </c>
      <c r="D1152" s="4">
        <v>1979.25</v>
      </c>
      <c r="E1152" s="26">
        <v>45566</v>
      </c>
      <c r="F1152" s="5"/>
    </row>
    <row r="1153" spans="1:6" x14ac:dyDescent="0.3">
      <c r="A1153" t="s">
        <v>127</v>
      </c>
      <c r="B1153" t="s">
        <v>128</v>
      </c>
      <c r="C1153">
        <v>2025</v>
      </c>
      <c r="D1153" s="4">
        <v>8323.66</v>
      </c>
      <c r="E1153" s="26">
        <v>45957</v>
      </c>
      <c r="F1153" s="5"/>
    </row>
    <row r="1154" spans="1:6" x14ac:dyDescent="0.3">
      <c r="A1154" t="s">
        <v>152</v>
      </c>
      <c r="B1154" t="s">
        <v>116</v>
      </c>
      <c r="C1154">
        <v>2023</v>
      </c>
      <c r="D1154" s="4">
        <v>11569.04</v>
      </c>
      <c r="E1154" s="26">
        <v>45060</v>
      </c>
      <c r="F1154" s="5"/>
    </row>
    <row r="1155" spans="1:6" x14ac:dyDescent="0.3">
      <c r="A1155" t="s">
        <v>149</v>
      </c>
      <c r="B1155" t="s">
        <v>122</v>
      </c>
      <c r="C1155">
        <v>2024</v>
      </c>
      <c r="D1155" s="4">
        <v>6491.78</v>
      </c>
      <c r="E1155" s="26">
        <v>45522</v>
      </c>
      <c r="F1155" s="5"/>
    </row>
    <row r="1156" spans="1:6" x14ac:dyDescent="0.3">
      <c r="A1156" t="s">
        <v>141</v>
      </c>
      <c r="B1156" t="s">
        <v>116</v>
      </c>
      <c r="C1156">
        <v>2025</v>
      </c>
      <c r="D1156" s="4">
        <v>4862.13</v>
      </c>
      <c r="E1156" s="26">
        <v>46000</v>
      </c>
      <c r="F1156" s="5"/>
    </row>
    <row r="1157" spans="1:6" x14ac:dyDescent="0.3">
      <c r="A1157" t="s">
        <v>137</v>
      </c>
      <c r="B1157" t="s">
        <v>128</v>
      </c>
      <c r="C1157">
        <v>2024</v>
      </c>
      <c r="D1157" s="4">
        <v>13946.72</v>
      </c>
      <c r="E1157" s="26">
        <v>45628</v>
      </c>
      <c r="F1157" s="5"/>
    </row>
    <row r="1158" spans="1:6" x14ac:dyDescent="0.3">
      <c r="A1158" t="s">
        <v>156</v>
      </c>
      <c r="B1158" t="s">
        <v>128</v>
      </c>
      <c r="C1158">
        <v>2025</v>
      </c>
      <c r="D1158" s="4">
        <v>10551.6</v>
      </c>
      <c r="E1158" s="26">
        <v>45662</v>
      </c>
      <c r="F1158" s="5"/>
    </row>
    <row r="1159" spans="1:6" x14ac:dyDescent="0.3">
      <c r="A1159" t="s">
        <v>152</v>
      </c>
      <c r="B1159" t="s">
        <v>116</v>
      </c>
      <c r="C1159">
        <v>2025</v>
      </c>
      <c r="D1159" s="4">
        <v>463.92</v>
      </c>
      <c r="E1159" s="26">
        <v>45753</v>
      </c>
      <c r="F1159" s="5"/>
    </row>
    <row r="1160" spans="1:6" x14ac:dyDescent="0.3">
      <c r="A1160" t="s">
        <v>147</v>
      </c>
      <c r="B1160" t="s">
        <v>120</v>
      </c>
      <c r="C1160">
        <v>2023</v>
      </c>
      <c r="D1160" s="4">
        <v>3114.43</v>
      </c>
      <c r="E1160" s="26">
        <v>45195</v>
      </c>
      <c r="F1160" s="5"/>
    </row>
    <row r="1161" spans="1:6" x14ac:dyDescent="0.3">
      <c r="A1161" t="s">
        <v>159</v>
      </c>
      <c r="B1161" t="s">
        <v>116</v>
      </c>
      <c r="C1161">
        <v>2025</v>
      </c>
      <c r="D1161" s="4">
        <v>2531.9899999999998</v>
      </c>
      <c r="E1161" s="26">
        <v>45960</v>
      </c>
      <c r="F1161" s="5"/>
    </row>
    <row r="1162" spans="1:6" x14ac:dyDescent="0.3">
      <c r="A1162" t="s">
        <v>140</v>
      </c>
      <c r="B1162" t="s">
        <v>128</v>
      </c>
      <c r="C1162">
        <v>2023</v>
      </c>
      <c r="D1162" s="4">
        <v>5377.66</v>
      </c>
      <c r="E1162" s="26">
        <v>45003</v>
      </c>
      <c r="F1162" s="5"/>
    </row>
    <row r="1163" spans="1:6" x14ac:dyDescent="0.3">
      <c r="A1163" t="s">
        <v>135</v>
      </c>
      <c r="B1163" t="s">
        <v>116</v>
      </c>
      <c r="C1163">
        <v>2025</v>
      </c>
      <c r="D1163" s="4">
        <v>8799.26</v>
      </c>
      <c r="E1163" s="26">
        <v>46022</v>
      </c>
      <c r="F1163" s="5"/>
    </row>
    <row r="1164" spans="1:6" x14ac:dyDescent="0.3">
      <c r="A1164" t="s">
        <v>143</v>
      </c>
      <c r="B1164" t="s">
        <v>122</v>
      </c>
      <c r="C1164">
        <v>2023</v>
      </c>
      <c r="D1164" s="4">
        <v>9335.18</v>
      </c>
      <c r="E1164" s="26">
        <v>45025</v>
      </c>
      <c r="F1164" s="5"/>
    </row>
    <row r="1165" spans="1:6" x14ac:dyDescent="0.3">
      <c r="A1165" t="s">
        <v>159</v>
      </c>
      <c r="B1165" t="s">
        <v>116</v>
      </c>
      <c r="C1165">
        <v>2023</v>
      </c>
      <c r="D1165" s="4">
        <v>9718.5499999999993</v>
      </c>
      <c r="E1165" s="26">
        <v>45025</v>
      </c>
      <c r="F1165" s="5"/>
    </row>
    <row r="1166" spans="1:6" x14ac:dyDescent="0.3">
      <c r="A1166" t="s">
        <v>148</v>
      </c>
      <c r="B1166" t="s">
        <v>120</v>
      </c>
      <c r="C1166">
        <v>2025</v>
      </c>
      <c r="D1166" s="4">
        <v>5447.5</v>
      </c>
      <c r="E1166" s="26">
        <v>45836</v>
      </c>
      <c r="F1166" s="5"/>
    </row>
    <row r="1167" spans="1:6" x14ac:dyDescent="0.3">
      <c r="A1167" t="s">
        <v>123</v>
      </c>
      <c r="B1167" t="s">
        <v>120</v>
      </c>
      <c r="C1167">
        <v>2024</v>
      </c>
      <c r="D1167" s="4">
        <v>6746.67</v>
      </c>
      <c r="E1167" s="26">
        <v>45444</v>
      </c>
      <c r="F1167" s="5"/>
    </row>
    <row r="1168" spans="1:6" x14ac:dyDescent="0.3">
      <c r="A1168" t="s">
        <v>146</v>
      </c>
      <c r="B1168" t="s">
        <v>128</v>
      </c>
      <c r="C1168">
        <v>2024</v>
      </c>
      <c r="D1168" s="4">
        <v>9793.65</v>
      </c>
      <c r="E1168" s="26">
        <v>45347</v>
      </c>
      <c r="F1168" s="5"/>
    </row>
    <row r="1169" spans="1:6" x14ac:dyDescent="0.3">
      <c r="A1169" t="s">
        <v>150</v>
      </c>
      <c r="B1169" t="s">
        <v>116</v>
      </c>
      <c r="C1169">
        <v>2024</v>
      </c>
      <c r="D1169" s="4">
        <v>6008.03</v>
      </c>
      <c r="E1169" s="26">
        <v>45543</v>
      </c>
      <c r="F1169" s="5"/>
    </row>
    <row r="1170" spans="1:6" x14ac:dyDescent="0.3">
      <c r="A1170" t="s">
        <v>142</v>
      </c>
      <c r="B1170" t="s">
        <v>120</v>
      </c>
      <c r="C1170">
        <v>2025</v>
      </c>
      <c r="D1170" s="4">
        <v>3925.68</v>
      </c>
      <c r="E1170" s="26">
        <v>45992</v>
      </c>
      <c r="F1170" s="5"/>
    </row>
    <row r="1171" spans="1:6" x14ac:dyDescent="0.3">
      <c r="A1171" t="s">
        <v>143</v>
      </c>
      <c r="B1171" t="s">
        <v>122</v>
      </c>
      <c r="C1171">
        <v>2023</v>
      </c>
      <c r="D1171" s="4">
        <v>5979.8</v>
      </c>
      <c r="E1171" s="26">
        <v>45207</v>
      </c>
      <c r="F1171" s="5"/>
    </row>
    <row r="1172" spans="1:6" x14ac:dyDescent="0.3">
      <c r="A1172" t="s">
        <v>142</v>
      </c>
      <c r="B1172" t="s">
        <v>120</v>
      </c>
      <c r="C1172">
        <v>2025</v>
      </c>
      <c r="D1172" s="4">
        <v>10118.969999999999</v>
      </c>
      <c r="E1172" s="26">
        <v>45974</v>
      </c>
      <c r="F1172" s="5"/>
    </row>
    <row r="1173" spans="1:6" x14ac:dyDescent="0.3">
      <c r="A1173" t="s">
        <v>145</v>
      </c>
      <c r="B1173" t="s">
        <v>120</v>
      </c>
      <c r="C1173">
        <v>2024</v>
      </c>
      <c r="D1173" s="4">
        <v>1773.37</v>
      </c>
      <c r="E1173" s="26">
        <v>45505</v>
      </c>
      <c r="F1173" s="5"/>
    </row>
    <row r="1174" spans="1:6" x14ac:dyDescent="0.3">
      <c r="A1174" t="s">
        <v>142</v>
      </c>
      <c r="B1174" t="s">
        <v>120</v>
      </c>
      <c r="C1174">
        <v>2025</v>
      </c>
      <c r="D1174" s="4">
        <v>2941.32</v>
      </c>
      <c r="E1174" s="26">
        <v>45946</v>
      </c>
      <c r="F1174" s="5"/>
    </row>
    <row r="1175" spans="1:6" x14ac:dyDescent="0.3">
      <c r="A1175" t="s">
        <v>118</v>
      </c>
      <c r="B1175" t="s">
        <v>116</v>
      </c>
      <c r="C1175">
        <v>2024</v>
      </c>
      <c r="D1175" s="4">
        <v>11674.68</v>
      </c>
      <c r="E1175" s="26">
        <v>45465</v>
      </c>
      <c r="F1175" s="5"/>
    </row>
    <row r="1176" spans="1:6" x14ac:dyDescent="0.3">
      <c r="A1176" t="s">
        <v>118</v>
      </c>
      <c r="B1176" t="s">
        <v>116</v>
      </c>
      <c r="C1176">
        <v>2025</v>
      </c>
      <c r="D1176" s="4">
        <v>9907.43</v>
      </c>
      <c r="E1176" s="26">
        <v>45660</v>
      </c>
      <c r="F1176" s="5"/>
    </row>
    <row r="1177" spans="1:6" x14ac:dyDescent="0.3">
      <c r="A1177" t="s">
        <v>130</v>
      </c>
      <c r="B1177" t="s">
        <v>116</v>
      </c>
      <c r="C1177">
        <v>2023</v>
      </c>
      <c r="D1177" s="4">
        <v>743.8</v>
      </c>
      <c r="E1177" s="26">
        <v>45255</v>
      </c>
      <c r="F1177" s="5"/>
    </row>
    <row r="1178" spans="1:6" x14ac:dyDescent="0.3">
      <c r="A1178" t="s">
        <v>156</v>
      </c>
      <c r="B1178" t="s">
        <v>128</v>
      </c>
      <c r="C1178">
        <v>2024</v>
      </c>
      <c r="D1178" s="4">
        <v>9697.2099999999991</v>
      </c>
      <c r="E1178" s="26">
        <v>45352</v>
      </c>
      <c r="F1178" s="5"/>
    </row>
    <row r="1179" spans="1:6" x14ac:dyDescent="0.3">
      <c r="A1179" t="s">
        <v>126</v>
      </c>
      <c r="B1179" t="s">
        <v>116</v>
      </c>
      <c r="C1179">
        <v>2024</v>
      </c>
      <c r="D1179" s="4">
        <v>3436.17</v>
      </c>
      <c r="E1179" s="26">
        <v>45604</v>
      </c>
      <c r="F1179" s="5"/>
    </row>
    <row r="1180" spans="1:6" x14ac:dyDescent="0.3">
      <c r="A1180" t="s">
        <v>150</v>
      </c>
      <c r="B1180" t="s">
        <v>116</v>
      </c>
      <c r="C1180">
        <v>2023</v>
      </c>
      <c r="D1180" s="4">
        <v>12714.94</v>
      </c>
      <c r="E1180" s="26">
        <v>45109</v>
      </c>
      <c r="F1180" s="5"/>
    </row>
    <row r="1181" spans="1:6" x14ac:dyDescent="0.3">
      <c r="A1181" t="s">
        <v>133</v>
      </c>
      <c r="B1181" t="s">
        <v>128</v>
      </c>
      <c r="C1181">
        <v>2025</v>
      </c>
      <c r="D1181" s="4">
        <v>2258.19</v>
      </c>
      <c r="E1181" s="26">
        <v>45938</v>
      </c>
      <c r="F1181" s="5"/>
    </row>
    <row r="1182" spans="1:6" x14ac:dyDescent="0.3">
      <c r="A1182" t="s">
        <v>158</v>
      </c>
      <c r="B1182" t="s">
        <v>120</v>
      </c>
      <c r="C1182">
        <v>2025</v>
      </c>
      <c r="D1182" s="4">
        <v>1235.67</v>
      </c>
      <c r="E1182" s="26">
        <v>45974</v>
      </c>
      <c r="F1182" s="5"/>
    </row>
    <row r="1183" spans="1:6" x14ac:dyDescent="0.3">
      <c r="A1183" t="s">
        <v>142</v>
      </c>
      <c r="B1183" t="s">
        <v>120</v>
      </c>
      <c r="C1183">
        <v>2024</v>
      </c>
      <c r="D1183" s="4">
        <v>9091.85</v>
      </c>
      <c r="E1183" s="26">
        <v>45451</v>
      </c>
      <c r="F1183" s="5"/>
    </row>
    <row r="1184" spans="1:6" x14ac:dyDescent="0.3">
      <c r="A1184" t="s">
        <v>129</v>
      </c>
      <c r="B1184" t="s">
        <v>120</v>
      </c>
      <c r="C1184">
        <v>2024</v>
      </c>
      <c r="D1184" s="4">
        <v>3844.93</v>
      </c>
      <c r="E1184" s="26">
        <v>45533</v>
      </c>
      <c r="F1184" s="5"/>
    </row>
    <row r="1185" spans="1:6" x14ac:dyDescent="0.3">
      <c r="A1185" t="s">
        <v>115</v>
      </c>
      <c r="B1185" t="s">
        <v>116</v>
      </c>
      <c r="C1185">
        <v>2023</v>
      </c>
      <c r="D1185" s="4">
        <v>11421.86</v>
      </c>
      <c r="E1185" s="26">
        <v>45131</v>
      </c>
      <c r="F1185" s="5"/>
    </row>
    <row r="1186" spans="1:6" x14ac:dyDescent="0.3">
      <c r="A1186" t="s">
        <v>134</v>
      </c>
      <c r="B1186" t="s">
        <v>120</v>
      </c>
      <c r="C1186">
        <v>2024</v>
      </c>
      <c r="D1186" s="4">
        <v>5170.96</v>
      </c>
      <c r="E1186" s="26">
        <v>45522</v>
      </c>
      <c r="F1186" s="5"/>
    </row>
    <row r="1187" spans="1:6" x14ac:dyDescent="0.3">
      <c r="A1187" t="s">
        <v>136</v>
      </c>
      <c r="B1187" t="s">
        <v>120</v>
      </c>
      <c r="C1187">
        <v>2025</v>
      </c>
      <c r="D1187" s="4">
        <v>10391.85</v>
      </c>
      <c r="E1187" s="26">
        <v>45799</v>
      </c>
      <c r="F1187" s="5"/>
    </row>
    <row r="1188" spans="1:6" x14ac:dyDescent="0.3">
      <c r="A1188" t="s">
        <v>142</v>
      </c>
      <c r="B1188" t="s">
        <v>120</v>
      </c>
      <c r="C1188">
        <v>2023</v>
      </c>
      <c r="D1188" s="4">
        <v>333.48</v>
      </c>
      <c r="E1188" s="26">
        <v>45020</v>
      </c>
      <c r="F1188" s="5"/>
    </row>
    <row r="1189" spans="1:6" x14ac:dyDescent="0.3">
      <c r="A1189" t="s">
        <v>137</v>
      </c>
      <c r="B1189" t="s">
        <v>128</v>
      </c>
      <c r="C1189">
        <v>2023</v>
      </c>
      <c r="D1189" s="4">
        <v>4735.5200000000004</v>
      </c>
      <c r="E1189" s="26">
        <v>45276</v>
      </c>
      <c r="F1189" s="5"/>
    </row>
    <row r="1190" spans="1:6" x14ac:dyDescent="0.3">
      <c r="A1190" t="s">
        <v>151</v>
      </c>
      <c r="B1190" t="s">
        <v>120</v>
      </c>
      <c r="C1190">
        <v>2024</v>
      </c>
      <c r="D1190" s="4">
        <v>12322.96</v>
      </c>
      <c r="E1190" s="26">
        <v>45476</v>
      </c>
      <c r="F1190" s="5"/>
    </row>
    <row r="1191" spans="1:6" x14ac:dyDescent="0.3">
      <c r="A1191" t="s">
        <v>158</v>
      </c>
      <c r="B1191" t="s">
        <v>120</v>
      </c>
      <c r="C1191">
        <v>2025</v>
      </c>
      <c r="D1191" s="4">
        <v>11446.51</v>
      </c>
      <c r="E1191" s="26">
        <v>45690</v>
      </c>
      <c r="F1191" s="5"/>
    </row>
    <row r="1192" spans="1:6" x14ac:dyDescent="0.3">
      <c r="A1192" t="s">
        <v>119</v>
      </c>
      <c r="B1192" t="s">
        <v>120</v>
      </c>
      <c r="C1192">
        <v>2023</v>
      </c>
      <c r="D1192" s="4">
        <v>5730.73</v>
      </c>
      <c r="E1192" s="26">
        <v>45160</v>
      </c>
      <c r="F1192" s="5"/>
    </row>
    <row r="1193" spans="1:6" x14ac:dyDescent="0.3">
      <c r="A1193" t="s">
        <v>129</v>
      </c>
      <c r="B1193" t="s">
        <v>120</v>
      </c>
      <c r="C1193">
        <v>2024</v>
      </c>
      <c r="D1193" s="4">
        <v>11732.78</v>
      </c>
      <c r="E1193" s="26">
        <v>45483</v>
      </c>
      <c r="F1193" s="5"/>
    </row>
    <row r="1194" spans="1:6" x14ac:dyDescent="0.3">
      <c r="A1194" t="s">
        <v>126</v>
      </c>
      <c r="B1194" t="s">
        <v>116</v>
      </c>
      <c r="C1194">
        <v>2025</v>
      </c>
      <c r="D1194" s="4">
        <v>9154.08</v>
      </c>
      <c r="E1194" s="26">
        <v>45790</v>
      </c>
      <c r="F1194" s="5"/>
    </row>
    <row r="1195" spans="1:6" x14ac:dyDescent="0.3">
      <c r="A1195" t="s">
        <v>152</v>
      </c>
      <c r="B1195" t="s">
        <v>116</v>
      </c>
      <c r="C1195">
        <v>2023</v>
      </c>
      <c r="D1195" s="4">
        <v>2028.66</v>
      </c>
      <c r="E1195" s="26">
        <v>45158</v>
      </c>
      <c r="F1195" s="5"/>
    </row>
    <row r="1196" spans="1:6" x14ac:dyDescent="0.3">
      <c r="A1196" t="s">
        <v>115</v>
      </c>
      <c r="B1196" t="s">
        <v>116</v>
      </c>
      <c r="C1196">
        <v>2023</v>
      </c>
      <c r="D1196" s="4">
        <v>1631.24</v>
      </c>
      <c r="E1196" s="26">
        <v>45253</v>
      </c>
      <c r="F1196" s="5"/>
    </row>
    <row r="1197" spans="1:6" x14ac:dyDescent="0.3">
      <c r="A1197" t="s">
        <v>131</v>
      </c>
      <c r="B1197" t="s">
        <v>122</v>
      </c>
      <c r="C1197">
        <v>2025</v>
      </c>
      <c r="D1197" s="4">
        <v>11271.25</v>
      </c>
      <c r="E1197" s="26">
        <v>45915</v>
      </c>
      <c r="F1197" s="5"/>
    </row>
    <row r="1198" spans="1:6" x14ac:dyDescent="0.3">
      <c r="A1198" t="s">
        <v>151</v>
      </c>
      <c r="B1198" t="s">
        <v>120</v>
      </c>
      <c r="C1198">
        <v>2024</v>
      </c>
      <c r="D1198" s="4">
        <v>8636.26</v>
      </c>
      <c r="E1198" s="26">
        <v>45298</v>
      </c>
      <c r="F1198" s="5"/>
    </row>
    <row r="1199" spans="1:6" x14ac:dyDescent="0.3">
      <c r="A1199" t="s">
        <v>139</v>
      </c>
      <c r="B1199" t="s">
        <v>120</v>
      </c>
      <c r="C1199">
        <v>2023</v>
      </c>
      <c r="D1199" s="4">
        <v>12103.55</v>
      </c>
      <c r="E1199" s="26">
        <v>44986</v>
      </c>
      <c r="F1199" s="5"/>
    </row>
    <row r="1200" spans="1:6" x14ac:dyDescent="0.3">
      <c r="A1200" t="s">
        <v>137</v>
      </c>
      <c r="B1200" t="s">
        <v>128</v>
      </c>
      <c r="C1200">
        <v>2025</v>
      </c>
      <c r="D1200" s="4">
        <v>12901.49</v>
      </c>
      <c r="E1200" s="26">
        <v>45916</v>
      </c>
      <c r="F1200" s="5"/>
    </row>
    <row r="1201" spans="1:6" x14ac:dyDescent="0.3">
      <c r="A1201" t="s">
        <v>145</v>
      </c>
      <c r="B1201" t="s">
        <v>120</v>
      </c>
      <c r="C1201">
        <v>2025</v>
      </c>
      <c r="D1201" s="4">
        <v>6281.49</v>
      </c>
      <c r="E1201" s="26">
        <v>45769</v>
      </c>
      <c r="F1201" s="5"/>
    </row>
    <row r="1202" spans="1:6" x14ac:dyDescent="0.3">
      <c r="A1202" t="s">
        <v>121</v>
      </c>
      <c r="B1202" t="s">
        <v>122</v>
      </c>
      <c r="C1202">
        <v>2024</v>
      </c>
      <c r="D1202" s="4">
        <v>9238.64</v>
      </c>
      <c r="E1202" s="26">
        <v>45462</v>
      </c>
      <c r="F1202" s="5"/>
    </row>
    <row r="1203" spans="1:6" x14ac:dyDescent="0.3">
      <c r="A1203" t="s">
        <v>150</v>
      </c>
      <c r="B1203" t="s">
        <v>116</v>
      </c>
      <c r="C1203">
        <v>2025</v>
      </c>
      <c r="D1203" s="4">
        <v>10791.9</v>
      </c>
      <c r="E1203" s="26">
        <v>46001</v>
      </c>
      <c r="F1203" s="5"/>
    </row>
    <row r="1204" spans="1:6" x14ac:dyDescent="0.3">
      <c r="A1204" t="s">
        <v>133</v>
      </c>
      <c r="B1204" t="s">
        <v>128</v>
      </c>
      <c r="C1204">
        <v>2024</v>
      </c>
      <c r="D1204" s="4">
        <v>13694.96</v>
      </c>
      <c r="E1204" s="26">
        <v>45385</v>
      </c>
      <c r="F1204" s="5"/>
    </row>
    <row r="1205" spans="1:6" x14ac:dyDescent="0.3">
      <c r="A1205" t="s">
        <v>117</v>
      </c>
      <c r="B1205" t="s">
        <v>116</v>
      </c>
      <c r="C1205">
        <v>2025</v>
      </c>
      <c r="D1205" s="4">
        <v>7418.82</v>
      </c>
      <c r="E1205" s="26">
        <v>45990</v>
      </c>
      <c r="F1205" s="5"/>
    </row>
    <row r="1206" spans="1:6" x14ac:dyDescent="0.3">
      <c r="A1206" t="s">
        <v>153</v>
      </c>
      <c r="B1206" t="s">
        <v>122</v>
      </c>
      <c r="C1206">
        <v>2023</v>
      </c>
      <c r="D1206" s="4">
        <v>6173.3</v>
      </c>
      <c r="E1206" s="26">
        <v>45122</v>
      </c>
      <c r="F1206" s="5"/>
    </row>
    <row r="1207" spans="1:6" x14ac:dyDescent="0.3">
      <c r="A1207" t="s">
        <v>125</v>
      </c>
      <c r="B1207" t="s">
        <v>122</v>
      </c>
      <c r="C1207">
        <v>2025</v>
      </c>
      <c r="D1207" s="4">
        <v>4971.34</v>
      </c>
      <c r="E1207" s="26">
        <v>45913</v>
      </c>
      <c r="F1207" s="5"/>
    </row>
    <row r="1208" spans="1:6" x14ac:dyDescent="0.3">
      <c r="A1208" t="s">
        <v>127</v>
      </c>
      <c r="B1208" t="s">
        <v>128</v>
      </c>
      <c r="C1208">
        <v>2023</v>
      </c>
      <c r="D1208" s="4">
        <v>11778.66</v>
      </c>
      <c r="E1208" s="26">
        <v>45231</v>
      </c>
      <c r="F1208" s="5"/>
    </row>
    <row r="1209" spans="1:6" x14ac:dyDescent="0.3">
      <c r="A1209" t="s">
        <v>123</v>
      </c>
      <c r="B1209" t="s">
        <v>120</v>
      </c>
      <c r="C1209">
        <v>2023</v>
      </c>
      <c r="D1209" s="4">
        <v>360.7</v>
      </c>
      <c r="E1209" s="26">
        <v>45038</v>
      </c>
      <c r="F1209" s="5"/>
    </row>
    <row r="1210" spans="1:6" x14ac:dyDescent="0.3">
      <c r="A1210" t="s">
        <v>152</v>
      </c>
      <c r="B1210" t="s">
        <v>116</v>
      </c>
      <c r="C1210">
        <v>2025</v>
      </c>
      <c r="D1210" s="4">
        <v>11914.07</v>
      </c>
      <c r="E1210" s="26">
        <v>45962</v>
      </c>
      <c r="F1210" s="5"/>
    </row>
    <row r="1211" spans="1:6" x14ac:dyDescent="0.3">
      <c r="A1211" t="s">
        <v>156</v>
      </c>
      <c r="B1211" t="s">
        <v>128</v>
      </c>
      <c r="C1211">
        <v>2023</v>
      </c>
      <c r="D1211" s="4">
        <v>1233.1400000000001</v>
      </c>
      <c r="E1211" s="26">
        <v>45265</v>
      </c>
      <c r="F1211" s="5"/>
    </row>
    <row r="1212" spans="1:6" x14ac:dyDescent="0.3">
      <c r="A1212" t="s">
        <v>156</v>
      </c>
      <c r="B1212" t="s">
        <v>128</v>
      </c>
      <c r="C1212">
        <v>2024</v>
      </c>
      <c r="D1212" s="4">
        <v>3524.31</v>
      </c>
      <c r="E1212" s="26">
        <v>45583</v>
      </c>
      <c r="F1212" s="5"/>
    </row>
    <row r="1213" spans="1:6" x14ac:dyDescent="0.3">
      <c r="A1213" t="s">
        <v>154</v>
      </c>
      <c r="B1213" t="s">
        <v>128</v>
      </c>
      <c r="C1213">
        <v>2023</v>
      </c>
      <c r="D1213" s="4">
        <v>7195.62</v>
      </c>
      <c r="E1213" s="26">
        <v>45030</v>
      </c>
      <c r="F1213" s="5"/>
    </row>
    <row r="1214" spans="1:6" x14ac:dyDescent="0.3">
      <c r="A1214" t="s">
        <v>123</v>
      </c>
      <c r="B1214" t="s">
        <v>120</v>
      </c>
      <c r="C1214">
        <v>2025</v>
      </c>
      <c r="D1214" s="4">
        <v>5765.22</v>
      </c>
      <c r="E1214" s="26">
        <v>45702</v>
      </c>
      <c r="F1214" s="5"/>
    </row>
    <row r="1215" spans="1:6" x14ac:dyDescent="0.3">
      <c r="A1215" t="s">
        <v>125</v>
      </c>
      <c r="B1215" t="s">
        <v>122</v>
      </c>
      <c r="C1215">
        <v>2023</v>
      </c>
      <c r="D1215" s="4">
        <v>6535.51</v>
      </c>
      <c r="E1215" s="26">
        <v>45088</v>
      </c>
      <c r="F1215" s="5"/>
    </row>
    <row r="1216" spans="1:6" x14ac:dyDescent="0.3">
      <c r="A1216" t="s">
        <v>133</v>
      </c>
      <c r="B1216" t="s">
        <v>128</v>
      </c>
      <c r="C1216">
        <v>2025</v>
      </c>
      <c r="D1216" s="4">
        <v>1414.67</v>
      </c>
      <c r="E1216" s="26">
        <v>45844</v>
      </c>
      <c r="F1216" s="5"/>
    </row>
    <row r="1217" spans="1:6" x14ac:dyDescent="0.3">
      <c r="A1217" t="s">
        <v>156</v>
      </c>
      <c r="B1217" t="s">
        <v>128</v>
      </c>
      <c r="C1217">
        <v>2025</v>
      </c>
      <c r="D1217" s="4">
        <v>4561.6499999999996</v>
      </c>
      <c r="E1217" s="26">
        <v>45842</v>
      </c>
      <c r="F1217" s="5"/>
    </row>
    <row r="1218" spans="1:6" x14ac:dyDescent="0.3">
      <c r="A1218" t="s">
        <v>156</v>
      </c>
      <c r="B1218" t="s">
        <v>128</v>
      </c>
      <c r="C1218">
        <v>2023</v>
      </c>
      <c r="D1218" s="4">
        <v>1616.48</v>
      </c>
      <c r="E1218" s="26">
        <v>44963</v>
      </c>
      <c r="F1218" s="5"/>
    </row>
    <row r="1219" spans="1:6" x14ac:dyDescent="0.3">
      <c r="A1219" t="s">
        <v>148</v>
      </c>
      <c r="B1219" t="s">
        <v>120</v>
      </c>
      <c r="C1219">
        <v>2023</v>
      </c>
      <c r="D1219" s="4">
        <v>7888.41</v>
      </c>
      <c r="E1219" s="26">
        <v>45000</v>
      </c>
      <c r="F1219" s="5"/>
    </row>
    <row r="1220" spans="1:6" x14ac:dyDescent="0.3">
      <c r="A1220" t="s">
        <v>150</v>
      </c>
      <c r="B1220" t="s">
        <v>116</v>
      </c>
      <c r="C1220">
        <v>2023</v>
      </c>
      <c r="D1220" s="4">
        <v>11126.61</v>
      </c>
      <c r="E1220" s="26">
        <v>45113</v>
      </c>
      <c r="F1220" s="5"/>
    </row>
    <row r="1221" spans="1:6" x14ac:dyDescent="0.3">
      <c r="A1221" t="s">
        <v>153</v>
      </c>
      <c r="B1221" t="s">
        <v>122</v>
      </c>
      <c r="C1221">
        <v>2024</v>
      </c>
      <c r="D1221" s="4">
        <v>12483.53</v>
      </c>
      <c r="E1221" s="26">
        <v>45550</v>
      </c>
      <c r="F1221" s="5"/>
    </row>
    <row r="1222" spans="1:6" x14ac:dyDescent="0.3">
      <c r="A1222" t="s">
        <v>123</v>
      </c>
      <c r="B1222" t="s">
        <v>120</v>
      </c>
      <c r="C1222">
        <v>2024</v>
      </c>
      <c r="D1222" s="4">
        <v>9233.42</v>
      </c>
      <c r="E1222" s="26">
        <v>45350</v>
      </c>
      <c r="F1222" s="5"/>
    </row>
    <row r="1223" spans="1:6" x14ac:dyDescent="0.3">
      <c r="A1223" t="s">
        <v>129</v>
      </c>
      <c r="B1223" t="s">
        <v>120</v>
      </c>
      <c r="C1223">
        <v>2024</v>
      </c>
      <c r="D1223" s="4">
        <v>5214.13</v>
      </c>
      <c r="E1223" s="26">
        <v>45625</v>
      </c>
      <c r="F1223" s="5"/>
    </row>
    <row r="1224" spans="1:6" x14ac:dyDescent="0.3">
      <c r="A1224" t="s">
        <v>115</v>
      </c>
      <c r="B1224" t="s">
        <v>116</v>
      </c>
      <c r="C1224">
        <v>2024</v>
      </c>
      <c r="D1224" s="4">
        <v>11851.58</v>
      </c>
      <c r="E1224" s="26">
        <v>45383</v>
      </c>
      <c r="F1224" s="5"/>
    </row>
    <row r="1225" spans="1:6" x14ac:dyDescent="0.3">
      <c r="A1225" t="s">
        <v>117</v>
      </c>
      <c r="B1225" t="s">
        <v>116</v>
      </c>
      <c r="C1225">
        <v>2025</v>
      </c>
      <c r="D1225" s="4">
        <v>10089.879999999999</v>
      </c>
      <c r="E1225" s="26">
        <v>45895</v>
      </c>
      <c r="F1225" s="5"/>
    </row>
    <row r="1226" spans="1:6" x14ac:dyDescent="0.3">
      <c r="A1226" t="s">
        <v>140</v>
      </c>
      <c r="B1226" t="s">
        <v>128</v>
      </c>
      <c r="C1226">
        <v>2025</v>
      </c>
      <c r="D1226" s="4">
        <v>1773.52</v>
      </c>
      <c r="E1226" s="26">
        <v>45853</v>
      </c>
      <c r="F1226" s="5"/>
    </row>
    <row r="1227" spans="1:6" x14ac:dyDescent="0.3">
      <c r="A1227" t="s">
        <v>147</v>
      </c>
      <c r="B1227" t="s">
        <v>120</v>
      </c>
      <c r="C1227">
        <v>2023</v>
      </c>
      <c r="D1227" s="4">
        <v>4910.7299999999996</v>
      </c>
      <c r="E1227" s="26">
        <v>44931</v>
      </c>
      <c r="F1227" s="5"/>
    </row>
    <row r="1228" spans="1:6" x14ac:dyDescent="0.3">
      <c r="A1228" t="s">
        <v>130</v>
      </c>
      <c r="B1228" t="s">
        <v>116</v>
      </c>
      <c r="C1228">
        <v>2025</v>
      </c>
      <c r="D1228" s="4">
        <v>5359.69</v>
      </c>
      <c r="E1228" s="26">
        <v>45996</v>
      </c>
      <c r="F1228" s="5"/>
    </row>
    <row r="1229" spans="1:6" x14ac:dyDescent="0.3">
      <c r="A1229" t="s">
        <v>142</v>
      </c>
      <c r="B1229" t="s">
        <v>120</v>
      </c>
      <c r="C1229">
        <v>2023</v>
      </c>
      <c r="D1229" s="4">
        <v>12576.9</v>
      </c>
      <c r="E1229" s="26">
        <v>45020</v>
      </c>
      <c r="F1229" s="5"/>
    </row>
    <row r="1230" spans="1:6" x14ac:dyDescent="0.3">
      <c r="A1230" t="s">
        <v>156</v>
      </c>
      <c r="B1230" t="s">
        <v>128</v>
      </c>
      <c r="C1230">
        <v>2023</v>
      </c>
      <c r="D1230" s="4">
        <v>11541.37</v>
      </c>
      <c r="E1230" s="26">
        <v>45214</v>
      </c>
      <c r="F1230" s="5"/>
    </row>
    <row r="1231" spans="1:6" x14ac:dyDescent="0.3">
      <c r="A1231" t="s">
        <v>148</v>
      </c>
      <c r="B1231" t="s">
        <v>120</v>
      </c>
      <c r="C1231">
        <v>2023</v>
      </c>
      <c r="D1231" s="4">
        <v>3709.19</v>
      </c>
      <c r="E1231" s="26">
        <v>45146</v>
      </c>
      <c r="F1231" s="5"/>
    </row>
    <row r="1232" spans="1:6" x14ac:dyDescent="0.3">
      <c r="A1232" t="s">
        <v>118</v>
      </c>
      <c r="B1232" t="s">
        <v>116</v>
      </c>
      <c r="C1232">
        <v>2024</v>
      </c>
      <c r="D1232" s="4">
        <v>1866.29</v>
      </c>
      <c r="E1232" s="26">
        <v>45311</v>
      </c>
      <c r="F1232" s="5"/>
    </row>
    <row r="1233" spans="1:6" x14ac:dyDescent="0.3">
      <c r="A1233" t="s">
        <v>155</v>
      </c>
      <c r="B1233" t="s">
        <v>128</v>
      </c>
      <c r="C1233">
        <v>2024</v>
      </c>
      <c r="D1233" s="4">
        <v>6507.23</v>
      </c>
      <c r="E1233" s="26">
        <v>45368</v>
      </c>
      <c r="F1233" s="5"/>
    </row>
    <row r="1234" spans="1:6" x14ac:dyDescent="0.3">
      <c r="A1234" t="s">
        <v>118</v>
      </c>
      <c r="B1234" t="s">
        <v>116</v>
      </c>
      <c r="C1234">
        <v>2024</v>
      </c>
      <c r="D1234" s="4">
        <v>1687.17</v>
      </c>
      <c r="E1234" s="26">
        <v>45619</v>
      </c>
      <c r="F1234" s="5"/>
    </row>
    <row r="1235" spans="1:6" x14ac:dyDescent="0.3">
      <c r="A1235" t="s">
        <v>148</v>
      </c>
      <c r="B1235" t="s">
        <v>120</v>
      </c>
      <c r="C1235">
        <v>2023</v>
      </c>
      <c r="D1235" s="4">
        <v>12987.45</v>
      </c>
      <c r="E1235" s="26">
        <v>45022</v>
      </c>
      <c r="F1235" s="5"/>
    </row>
    <row r="1236" spans="1:6" x14ac:dyDescent="0.3">
      <c r="A1236" t="s">
        <v>131</v>
      </c>
      <c r="B1236" t="s">
        <v>122</v>
      </c>
      <c r="C1236">
        <v>2023</v>
      </c>
      <c r="D1236" s="4">
        <v>10855.6</v>
      </c>
      <c r="E1236" s="26">
        <v>45179</v>
      </c>
      <c r="F1236" s="5"/>
    </row>
    <row r="1237" spans="1:6" x14ac:dyDescent="0.3">
      <c r="A1237" t="s">
        <v>151</v>
      </c>
      <c r="B1237" t="s">
        <v>120</v>
      </c>
      <c r="C1237">
        <v>2025</v>
      </c>
      <c r="D1237" s="4">
        <v>9286.7000000000007</v>
      </c>
      <c r="E1237" s="26">
        <v>45863</v>
      </c>
      <c r="F1237" s="5"/>
    </row>
    <row r="1238" spans="1:6" x14ac:dyDescent="0.3">
      <c r="A1238" t="s">
        <v>132</v>
      </c>
      <c r="B1238" t="s">
        <v>128</v>
      </c>
      <c r="C1238">
        <v>2023</v>
      </c>
      <c r="D1238" s="4">
        <v>13501.2</v>
      </c>
      <c r="E1238" s="26">
        <v>45202</v>
      </c>
      <c r="F1238" s="5"/>
    </row>
    <row r="1239" spans="1:6" x14ac:dyDescent="0.3">
      <c r="A1239" t="s">
        <v>150</v>
      </c>
      <c r="B1239" t="s">
        <v>116</v>
      </c>
      <c r="C1239">
        <v>2025</v>
      </c>
      <c r="D1239" s="4">
        <v>10359.75</v>
      </c>
      <c r="E1239" s="26">
        <v>46013</v>
      </c>
      <c r="F1239" s="5"/>
    </row>
    <row r="1240" spans="1:6" x14ac:dyDescent="0.3">
      <c r="A1240" t="s">
        <v>123</v>
      </c>
      <c r="B1240" t="s">
        <v>120</v>
      </c>
      <c r="C1240">
        <v>2025</v>
      </c>
      <c r="D1240" s="4">
        <v>11775.66</v>
      </c>
      <c r="E1240" s="26">
        <v>45813</v>
      </c>
      <c r="F1240" s="5"/>
    </row>
    <row r="1241" spans="1:6" x14ac:dyDescent="0.3">
      <c r="A1241" t="s">
        <v>126</v>
      </c>
      <c r="B1241" t="s">
        <v>116</v>
      </c>
      <c r="C1241">
        <v>2025</v>
      </c>
      <c r="D1241" s="4">
        <v>10978.92</v>
      </c>
      <c r="E1241" s="26">
        <v>45968</v>
      </c>
      <c r="F1241" s="5"/>
    </row>
    <row r="1242" spans="1:6" x14ac:dyDescent="0.3">
      <c r="A1242" t="s">
        <v>119</v>
      </c>
      <c r="B1242" t="s">
        <v>120</v>
      </c>
      <c r="C1242">
        <v>2023</v>
      </c>
      <c r="D1242" s="4">
        <v>10280.83</v>
      </c>
      <c r="E1242" s="26">
        <v>45282</v>
      </c>
      <c r="F1242" s="5"/>
    </row>
    <row r="1243" spans="1:6" x14ac:dyDescent="0.3">
      <c r="A1243" t="s">
        <v>137</v>
      </c>
      <c r="B1243" t="s">
        <v>128</v>
      </c>
      <c r="C1243">
        <v>2023</v>
      </c>
      <c r="D1243" s="4">
        <v>5546.2</v>
      </c>
      <c r="E1243" s="26">
        <v>45139</v>
      </c>
      <c r="F1243" s="5"/>
    </row>
    <row r="1244" spans="1:6" x14ac:dyDescent="0.3">
      <c r="A1244" t="s">
        <v>143</v>
      </c>
      <c r="B1244" t="s">
        <v>122</v>
      </c>
      <c r="C1244">
        <v>2024</v>
      </c>
      <c r="D1244" s="4">
        <v>7156.72</v>
      </c>
      <c r="E1244" s="26">
        <v>45586</v>
      </c>
      <c r="F1244" s="5"/>
    </row>
    <row r="1245" spans="1:6" x14ac:dyDescent="0.3">
      <c r="A1245" t="s">
        <v>127</v>
      </c>
      <c r="B1245" t="s">
        <v>128</v>
      </c>
      <c r="C1245">
        <v>2025</v>
      </c>
      <c r="D1245" s="4">
        <v>13717.11</v>
      </c>
      <c r="E1245" s="26">
        <v>45784</v>
      </c>
      <c r="F1245" s="5"/>
    </row>
    <row r="1246" spans="1:6" x14ac:dyDescent="0.3">
      <c r="A1246" t="s">
        <v>125</v>
      </c>
      <c r="B1246" t="s">
        <v>122</v>
      </c>
      <c r="C1246">
        <v>2024</v>
      </c>
      <c r="D1246" s="4">
        <v>5690.61</v>
      </c>
      <c r="E1246" s="26">
        <v>45487</v>
      </c>
      <c r="F1246" s="5"/>
    </row>
    <row r="1247" spans="1:6" x14ac:dyDescent="0.3">
      <c r="A1247" t="s">
        <v>117</v>
      </c>
      <c r="B1247" t="s">
        <v>116</v>
      </c>
      <c r="C1247">
        <v>2024</v>
      </c>
      <c r="D1247" s="4">
        <v>6449.27</v>
      </c>
      <c r="E1247" s="26">
        <v>45529</v>
      </c>
      <c r="F1247" s="5"/>
    </row>
    <row r="1248" spans="1:6" x14ac:dyDescent="0.3">
      <c r="A1248" t="s">
        <v>137</v>
      </c>
      <c r="B1248" t="s">
        <v>128</v>
      </c>
      <c r="C1248">
        <v>2023</v>
      </c>
      <c r="D1248" s="4">
        <v>5895.89</v>
      </c>
      <c r="E1248" s="26">
        <v>45209</v>
      </c>
      <c r="F1248" s="5"/>
    </row>
    <row r="1249" spans="1:6" x14ac:dyDescent="0.3">
      <c r="A1249" t="s">
        <v>132</v>
      </c>
      <c r="B1249" t="s">
        <v>128</v>
      </c>
      <c r="C1249">
        <v>2024</v>
      </c>
      <c r="D1249" s="4">
        <v>11834.43</v>
      </c>
      <c r="E1249" s="26">
        <v>45539</v>
      </c>
      <c r="F1249" s="5"/>
    </row>
    <row r="1250" spans="1:6" x14ac:dyDescent="0.3">
      <c r="A1250" t="s">
        <v>123</v>
      </c>
      <c r="B1250" t="s">
        <v>120</v>
      </c>
      <c r="C1250">
        <v>2024</v>
      </c>
      <c r="D1250" s="4">
        <v>10023.870000000001</v>
      </c>
      <c r="E1250" s="26">
        <v>45569</v>
      </c>
      <c r="F1250" s="5"/>
    </row>
    <row r="1251" spans="1:6" x14ac:dyDescent="0.3">
      <c r="A1251" t="s">
        <v>123</v>
      </c>
      <c r="B1251" t="s">
        <v>120</v>
      </c>
      <c r="C1251">
        <v>2024</v>
      </c>
      <c r="D1251" s="4">
        <v>2972.27</v>
      </c>
      <c r="E1251" s="26">
        <v>45372</v>
      </c>
      <c r="F1251" s="5"/>
    </row>
    <row r="1252" spans="1:6" x14ac:dyDescent="0.3">
      <c r="A1252" t="s">
        <v>153</v>
      </c>
      <c r="B1252" t="s">
        <v>122</v>
      </c>
      <c r="C1252">
        <v>2024</v>
      </c>
      <c r="D1252" s="4">
        <v>9675.24</v>
      </c>
      <c r="E1252" s="26">
        <v>45522</v>
      </c>
      <c r="F1252" s="5"/>
    </row>
    <row r="1253" spans="1:6" x14ac:dyDescent="0.3">
      <c r="A1253" t="s">
        <v>137</v>
      </c>
      <c r="B1253" t="s">
        <v>128</v>
      </c>
      <c r="C1253">
        <v>2023</v>
      </c>
      <c r="D1253" s="4">
        <v>7153.73</v>
      </c>
      <c r="E1253" s="26">
        <v>45291</v>
      </c>
      <c r="F1253" s="5"/>
    </row>
    <row r="1254" spans="1:6" x14ac:dyDescent="0.3">
      <c r="A1254" t="s">
        <v>136</v>
      </c>
      <c r="B1254" t="s">
        <v>120</v>
      </c>
      <c r="C1254">
        <v>2023</v>
      </c>
      <c r="D1254" s="4">
        <v>10698.7</v>
      </c>
      <c r="E1254" s="26">
        <v>45163</v>
      </c>
      <c r="F1254" s="5"/>
    </row>
    <row r="1255" spans="1:6" x14ac:dyDescent="0.3">
      <c r="A1255" t="s">
        <v>123</v>
      </c>
      <c r="B1255" t="s">
        <v>120</v>
      </c>
      <c r="C1255">
        <v>2025</v>
      </c>
      <c r="D1255" s="4">
        <v>8242.73</v>
      </c>
      <c r="E1255" s="26">
        <v>45910</v>
      </c>
      <c r="F1255" s="5"/>
    </row>
    <row r="1256" spans="1:6" x14ac:dyDescent="0.3">
      <c r="A1256" t="s">
        <v>148</v>
      </c>
      <c r="B1256" t="s">
        <v>120</v>
      </c>
      <c r="C1256">
        <v>2025</v>
      </c>
      <c r="D1256" s="4">
        <v>4145.8100000000004</v>
      </c>
      <c r="E1256" s="26">
        <v>46020</v>
      </c>
      <c r="F1256" s="5"/>
    </row>
    <row r="1257" spans="1:6" x14ac:dyDescent="0.3">
      <c r="A1257" t="s">
        <v>144</v>
      </c>
      <c r="B1257" t="s">
        <v>116</v>
      </c>
      <c r="C1257">
        <v>2023</v>
      </c>
      <c r="D1257" s="4">
        <v>7413.67</v>
      </c>
      <c r="E1257" s="26">
        <v>44953</v>
      </c>
      <c r="F1257" s="5"/>
    </row>
    <row r="1258" spans="1:6" x14ac:dyDescent="0.3">
      <c r="A1258" t="s">
        <v>159</v>
      </c>
      <c r="B1258" t="s">
        <v>116</v>
      </c>
      <c r="C1258">
        <v>2025</v>
      </c>
      <c r="D1258" s="4">
        <v>2205.5100000000002</v>
      </c>
      <c r="E1258" s="26">
        <v>45707</v>
      </c>
      <c r="F1258" s="5"/>
    </row>
    <row r="1259" spans="1:6" x14ac:dyDescent="0.3">
      <c r="A1259" t="s">
        <v>115</v>
      </c>
      <c r="B1259" t="s">
        <v>116</v>
      </c>
      <c r="C1259">
        <v>2024</v>
      </c>
      <c r="D1259" s="4">
        <v>3884.3</v>
      </c>
      <c r="E1259" s="26">
        <v>45336</v>
      </c>
      <c r="F1259" s="5"/>
    </row>
    <row r="1260" spans="1:6" x14ac:dyDescent="0.3">
      <c r="A1260" t="s">
        <v>152</v>
      </c>
      <c r="B1260" t="s">
        <v>116</v>
      </c>
      <c r="C1260">
        <v>2024</v>
      </c>
      <c r="D1260" s="4">
        <v>9630.7900000000009</v>
      </c>
      <c r="E1260" s="26">
        <v>45513</v>
      </c>
      <c r="F1260" s="5"/>
    </row>
    <row r="1261" spans="1:6" x14ac:dyDescent="0.3">
      <c r="A1261" t="s">
        <v>146</v>
      </c>
      <c r="B1261" t="s">
        <v>128</v>
      </c>
      <c r="C1261">
        <v>2023</v>
      </c>
      <c r="D1261" s="4">
        <v>9730.2099999999991</v>
      </c>
      <c r="E1261" s="26">
        <v>45054</v>
      </c>
      <c r="F1261" s="5"/>
    </row>
    <row r="1262" spans="1:6" x14ac:dyDescent="0.3">
      <c r="A1262" t="s">
        <v>130</v>
      </c>
      <c r="B1262" t="s">
        <v>116</v>
      </c>
      <c r="C1262">
        <v>2024</v>
      </c>
      <c r="D1262" s="4">
        <v>10599.6</v>
      </c>
      <c r="E1262" s="26">
        <v>45344</v>
      </c>
      <c r="F1262" s="5"/>
    </row>
    <row r="1263" spans="1:6" x14ac:dyDescent="0.3">
      <c r="A1263" t="s">
        <v>134</v>
      </c>
      <c r="B1263" t="s">
        <v>120</v>
      </c>
      <c r="C1263">
        <v>2025</v>
      </c>
      <c r="D1263" s="4">
        <v>11433.56</v>
      </c>
      <c r="E1263" s="26">
        <v>45661</v>
      </c>
      <c r="F1263" s="5"/>
    </row>
    <row r="1264" spans="1:6" x14ac:dyDescent="0.3">
      <c r="A1264" t="s">
        <v>142</v>
      </c>
      <c r="B1264" t="s">
        <v>120</v>
      </c>
      <c r="C1264">
        <v>2024</v>
      </c>
      <c r="D1264" s="4">
        <v>10445.299999999999</v>
      </c>
      <c r="E1264" s="26">
        <v>45386</v>
      </c>
      <c r="F1264" s="5"/>
    </row>
    <row r="1265" spans="1:6" x14ac:dyDescent="0.3">
      <c r="A1265" t="s">
        <v>123</v>
      </c>
      <c r="B1265" t="s">
        <v>120</v>
      </c>
      <c r="C1265">
        <v>2025</v>
      </c>
      <c r="D1265" s="4">
        <v>3478.82</v>
      </c>
      <c r="E1265" s="26">
        <v>45723</v>
      </c>
      <c r="F1265" s="5"/>
    </row>
    <row r="1266" spans="1:6" x14ac:dyDescent="0.3">
      <c r="A1266" t="s">
        <v>130</v>
      </c>
      <c r="B1266" t="s">
        <v>116</v>
      </c>
      <c r="C1266">
        <v>2023</v>
      </c>
      <c r="D1266" s="4">
        <v>12985.49</v>
      </c>
      <c r="E1266" s="26">
        <v>45023</v>
      </c>
      <c r="F1266" s="5"/>
    </row>
    <row r="1267" spans="1:6" x14ac:dyDescent="0.3">
      <c r="A1267" t="s">
        <v>127</v>
      </c>
      <c r="B1267" t="s">
        <v>128</v>
      </c>
      <c r="C1267">
        <v>2025</v>
      </c>
      <c r="D1267" s="4">
        <v>13402.49</v>
      </c>
      <c r="E1267" s="26">
        <v>45780</v>
      </c>
      <c r="F1267" s="5"/>
    </row>
    <row r="1268" spans="1:6" x14ac:dyDescent="0.3">
      <c r="A1268" t="s">
        <v>136</v>
      </c>
      <c r="B1268" t="s">
        <v>120</v>
      </c>
      <c r="C1268">
        <v>2023</v>
      </c>
      <c r="D1268" s="4">
        <v>378.92</v>
      </c>
      <c r="E1268" s="26">
        <v>45037</v>
      </c>
      <c r="F1268" s="5"/>
    </row>
    <row r="1269" spans="1:6" x14ac:dyDescent="0.3">
      <c r="A1269" t="s">
        <v>135</v>
      </c>
      <c r="B1269" t="s">
        <v>116</v>
      </c>
      <c r="C1269">
        <v>2024</v>
      </c>
      <c r="D1269" s="4">
        <v>8763.75</v>
      </c>
      <c r="E1269" s="26">
        <v>45342</v>
      </c>
      <c r="F1269" s="5"/>
    </row>
    <row r="1270" spans="1:6" x14ac:dyDescent="0.3">
      <c r="A1270" t="s">
        <v>151</v>
      </c>
      <c r="B1270" t="s">
        <v>120</v>
      </c>
      <c r="C1270">
        <v>2024</v>
      </c>
      <c r="D1270" s="4">
        <v>12778.51</v>
      </c>
      <c r="E1270" s="26">
        <v>45388</v>
      </c>
      <c r="F1270" s="5"/>
    </row>
    <row r="1271" spans="1:6" x14ac:dyDescent="0.3">
      <c r="A1271" t="s">
        <v>140</v>
      </c>
      <c r="B1271" t="s">
        <v>128</v>
      </c>
      <c r="C1271">
        <v>2024</v>
      </c>
      <c r="D1271" s="4">
        <v>10910.83</v>
      </c>
      <c r="E1271" s="26">
        <v>45329</v>
      </c>
      <c r="F1271" s="5"/>
    </row>
    <row r="1272" spans="1:6" x14ac:dyDescent="0.3">
      <c r="A1272" t="s">
        <v>118</v>
      </c>
      <c r="B1272" t="s">
        <v>116</v>
      </c>
      <c r="C1272">
        <v>2024</v>
      </c>
      <c r="D1272" s="4">
        <v>6393.65</v>
      </c>
      <c r="E1272" s="26">
        <v>45529</v>
      </c>
      <c r="F1272" s="5"/>
    </row>
    <row r="1273" spans="1:6" x14ac:dyDescent="0.3">
      <c r="A1273" t="s">
        <v>121</v>
      </c>
      <c r="B1273" t="s">
        <v>122</v>
      </c>
      <c r="C1273">
        <v>2024</v>
      </c>
      <c r="D1273" s="4">
        <v>13482.16</v>
      </c>
      <c r="E1273" s="26">
        <v>45309</v>
      </c>
      <c r="F1273" s="5"/>
    </row>
    <row r="1274" spans="1:6" x14ac:dyDescent="0.3">
      <c r="A1274" t="s">
        <v>132</v>
      </c>
      <c r="B1274" t="s">
        <v>128</v>
      </c>
      <c r="C1274">
        <v>2023</v>
      </c>
      <c r="D1274" s="4">
        <v>5405.34</v>
      </c>
      <c r="E1274" s="26">
        <v>45171</v>
      </c>
      <c r="F1274" s="5"/>
    </row>
    <row r="1275" spans="1:6" x14ac:dyDescent="0.3">
      <c r="A1275" t="s">
        <v>144</v>
      </c>
      <c r="B1275" t="s">
        <v>116</v>
      </c>
      <c r="C1275">
        <v>2024</v>
      </c>
      <c r="D1275" s="4">
        <v>7881.06</v>
      </c>
      <c r="E1275" s="26">
        <v>45498</v>
      </c>
      <c r="F1275" s="5"/>
    </row>
    <row r="1276" spans="1:6" x14ac:dyDescent="0.3">
      <c r="A1276" t="s">
        <v>137</v>
      </c>
      <c r="B1276" t="s">
        <v>128</v>
      </c>
      <c r="C1276">
        <v>2023</v>
      </c>
      <c r="D1276" s="4">
        <v>8259.01</v>
      </c>
      <c r="E1276" s="26">
        <v>45256</v>
      </c>
      <c r="F1276" s="5"/>
    </row>
    <row r="1277" spans="1:6" x14ac:dyDescent="0.3">
      <c r="A1277" t="s">
        <v>135</v>
      </c>
      <c r="B1277" t="s">
        <v>116</v>
      </c>
      <c r="C1277">
        <v>2023</v>
      </c>
      <c r="D1277" s="4">
        <v>4761.7700000000004</v>
      </c>
      <c r="E1277" s="26">
        <v>44938</v>
      </c>
      <c r="F1277" s="5"/>
    </row>
    <row r="1278" spans="1:6" x14ac:dyDescent="0.3">
      <c r="A1278" t="s">
        <v>146</v>
      </c>
      <c r="B1278" t="s">
        <v>128</v>
      </c>
      <c r="C1278">
        <v>2023</v>
      </c>
      <c r="D1278" s="4">
        <v>2321.11</v>
      </c>
      <c r="E1278" s="26">
        <v>45008</v>
      </c>
      <c r="F1278" s="5"/>
    </row>
    <row r="1279" spans="1:6" x14ac:dyDescent="0.3">
      <c r="A1279" t="s">
        <v>136</v>
      </c>
      <c r="B1279" t="s">
        <v>120</v>
      </c>
      <c r="C1279">
        <v>2023</v>
      </c>
      <c r="D1279" s="4">
        <v>10876.52</v>
      </c>
      <c r="E1279" s="26">
        <v>45031</v>
      </c>
      <c r="F1279" s="5"/>
    </row>
    <row r="1280" spans="1:6" x14ac:dyDescent="0.3">
      <c r="A1280" t="s">
        <v>153</v>
      </c>
      <c r="B1280" t="s">
        <v>122</v>
      </c>
      <c r="C1280">
        <v>2024</v>
      </c>
      <c r="D1280" s="4">
        <v>6969.6</v>
      </c>
      <c r="E1280" s="26">
        <v>45543</v>
      </c>
      <c r="F1280" s="5"/>
    </row>
    <row r="1281" spans="1:6" x14ac:dyDescent="0.3">
      <c r="A1281" t="s">
        <v>133</v>
      </c>
      <c r="B1281" t="s">
        <v>128</v>
      </c>
      <c r="C1281">
        <v>2025</v>
      </c>
      <c r="D1281" s="4">
        <v>1205.75</v>
      </c>
      <c r="E1281" s="26">
        <v>45660</v>
      </c>
      <c r="F1281" s="5"/>
    </row>
    <row r="1282" spans="1:6" x14ac:dyDescent="0.3">
      <c r="A1282" t="s">
        <v>136</v>
      </c>
      <c r="B1282" t="s">
        <v>120</v>
      </c>
      <c r="C1282">
        <v>2025</v>
      </c>
      <c r="D1282" s="4">
        <v>3235.48</v>
      </c>
      <c r="E1282" s="26">
        <v>46003</v>
      </c>
      <c r="F1282" s="5"/>
    </row>
    <row r="1283" spans="1:6" x14ac:dyDescent="0.3">
      <c r="A1283" t="s">
        <v>119</v>
      </c>
      <c r="B1283" t="s">
        <v>120</v>
      </c>
      <c r="C1283">
        <v>2025</v>
      </c>
      <c r="D1283" s="4">
        <v>1140.8399999999999</v>
      </c>
      <c r="E1283" s="26">
        <v>45993</v>
      </c>
      <c r="F1283" s="5"/>
    </row>
    <row r="1284" spans="1:6" x14ac:dyDescent="0.3">
      <c r="A1284" t="s">
        <v>132</v>
      </c>
      <c r="B1284" t="s">
        <v>128</v>
      </c>
      <c r="C1284">
        <v>2023</v>
      </c>
      <c r="D1284" s="4">
        <v>5939.85</v>
      </c>
      <c r="E1284" s="26">
        <v>45253</v>
      </c>
      <c r="F1284" s="5"/>
    </row>
    <row r="1285" spans="1:6" x14ac:dyDescent="0.3">
      <c r="A1285" t="s">
        <v>124</v>
      </c>
      <c r="B1285" t="s">
        <v>120</v>
      </c>
      <c r="C1285">
        <v>2025</v>
      </c>
      <c r="D1285" s="4">
        <v>1468.85</v>
      </c>
      <c r="E1285" s="26">
        <v>45753</v>
      </c>
      <c r="F1285" s="5"/>
    </row>
    <row r="1286" spans="1:6" x14ac:dyDescent="0.3">
      <c r="A1286" t="s">
        <v>147</v>
      </c>
      <c r="B1286" t="s">
        <v>120</v>
      </c>
      <c r="C1286">
        <v>2024</v>
      </c>
      <c r="D1286" s="4">
        <v>9354.02</v>
      </c>
      <c r="E1286" s="26">
        <v>45363</v>
      </c>
      <c r="F1286" s="5"/>
    </row>
    <row r="1287" spans="1:6" x14ac:dyDescent="0.3">
      <c r="A1287" t="s">
        <v>117</v>
      </c>
      <c r="B1287" t="s">
        <v>116</v>
      </c>
      <c r="C1287">
        <v>2025</v>
      </c>
      <c r="D1287" s="4">
        <v>4251.33</v>
      </c>
      <c r="E1287" s="26">
        <v>45665</v>
      </c>
      <c r="F1287" s="5"/>
    </row>
    <row r="1288" spans="1:6" x14ac:dyDescent="0.3">
      <c r="A1288" t="s">
        <v>153</v>
      </c>
      <c r="B1288" t="s">
        <v>122</v>
      </c>
      <c r="C1288">
        <v>2025</v>
      </c>
      <c r="D1288" s="4">
        <v>6753.03</v>
      </c>
      <c r="E1288" s="26">
        <v>46013</v>
      </c>
      <c r="F1288" s="5"/>
    </row>
    <row r="1289" spans="1:6" x14ac:dyDescent="0.3">
      <c r="A1289" t="s">
        <v>123</v>
      </c>
      <c r="B1289" t="s">
        <v>120</v>
      </c>
      <c r="C1289">
        <v>2023</v>
      </c>
      <c r="D1289" s="4">
        <v>1783.16</v>
      </c>
      <c r="E1289" s="26">
        <v>44945</v>
      </c>
      <c r="F1289" s="5"/>
    </row>
    <row r="1290" spans="1:6" x14ac:dyDescent="0.3">
      <c r="A1290" t="s">
        <v>139</v>
      </c>
      <c r="B1290" t="s">
        <v>120</v>
      </c>
      <c r="C1290">
        <v>2025</v>
      </c>
      <c r="D1290" s="4">
        <v>3516.8</v>
      </c>
      <c r="E1290" s="26">
        <v>45839</v>
      </c>
      <c r="F1290" s="5"/>
    </row>
    <row r="1291" spans="1:6" x14ac:dyDescent="0.3">
      <c r="A1291" t="s">
        <v>153</v>
      </c>
      <c r="B1291" t="s">
        <v>122</v>
      </c>
      <c r="C1291">
        <v>2024</v>
      </c>
      <c r="D1291" s="4">
        <v>13432.78</v>
      </c>
      <c r="E1291" s="26">
        <v>45426</v>
      </c>
      <c r="F1291" s="5"/>
    </row>
    <row r="1292" spans="1:6" x14ac:dyDescent="0.3">
      <c r="A1292" t="s">
        <v>136</v>
      </c>
      <c r="B1292" t="s">
        <v>120</v>
      </c>
      <c r="C1292">
        <v>2025</v>
      </c>
      <c r="D1292" s="4">
        <v>12839.87</v>
      </c>
      <c r="E1292" s="26">
        <v>45708</v>
      </c>
      <c r="F1292" s="5"/>
    </row>
    <row r="1293" spans="1:6" x14ac:dyDescent="0.3">
      <c r="A1293" t="s">
        <v>145</v>
      </c>
      <c r="B1293" t="s">
        <v>120</v>
      </c>
      <c r="C1293">
        <v>2025</v>
      </c>
      <c r="D1293" s="4">
        <v>3740.95</v>
      </c>
      <c r="E1293" s="26">
        <v>45717</v>
      </c>
      <c r="F1293" s="5"/>
    </row>
    <row r="1294" spans="1:6" x14ac:dyDescent="0.3">
      <c r="A1294" t="s">
        <v>130</v>
      </c>
      <c r="B1294" t="s">
        <v>116</v>
      </c>
      <c r="C1294">
        <v>2023</v>
      </c>
      <c r="D1294" s="4">
        <v>12776.44</v>
      </c>
      <c r="E1294" s="26">
        <v>44977</v>
      </c>
      <c r="F1294" s="5"/>
    </row>
    <row r="1295" spans="1:6" x14ac:dyDescent="0.3">
      <c r="A1295" t="s">
        <v>140</v>
      </c>
      <c r="B1295" t="s">
        <v>128</v>
      </c>
      <c r="C1295">
        <v>2025</v>
      </c>
      <c r="D1295" s="4">
        <v>11278.87</v>
      </c>
      <c r="E1295" s="26">
        <v>45980</v>
      </c>
      <c r="F1295" s="5"/>
    </row>
    <row r="1296" spans="1:6" x14ac:dyDescent="0.3">
      <c r="A1296" t="s">
        <v>151</v>
      </c>
      <c r="B1296" t="s">
        <v>120</v>
      </c>
      <c r="C1296">
        <v>2025</v>
      </c>
      <c r="D1296" s="4">
        <v>805.15</v>
      </c>
      <c r="E1296" s="26">
        <v>45923</v>
      </c>
      <c r="F1296" s="5"/>
    </row>
    <row r="1297" spans="1:6" x14ac:dyDescent="0.3">
      <c r="A1297" t="s">
        <v>118</v>
      </c>
      <c r="B1297" t="s">
        <v>116</v>
      </c>
      <c r="C1297">
        <v>2024</v>
      </c>
      <c r="D1297" s="4">
        <v>7291.75</v>
      </c>
      <c r="E1297" s="26">
        <v>45583</v>
      </c>
      <c r="F1297" s="5"/>
    </row>
    <row r="1298" spans="1:6" x14ac:dyDescent="0.3">
      <c r="A1298" t="s">
        <v>142</v>
      </c>
      <c r="B1298" t="s">
        <v>120</v>
      </c>
      <c r="C1298">
        <v>2023</v>
      </c>
      <c r="D1298" s="4">
        <v>13608.48</v>
      </c>
      <c r="E1298" s="26">
        <v>45269</v>
      </c>
      <c r="F1298" s="5"/>
    </row>
    <row r="1299" spans="1:6" x14ac:dyDescent="0.3">
      <c r="A1299" t="s">
        <v>124</v>
      </c>
      <c r="B1299" t="s">
        <v>120</v>
      </c>
      <c r="C1299">
        <v>2025</v>
      </c>
      <c r="D1299" s="4">
        <v>301.16000000000003</v>
      </c>
      <c r="E1299" s="26">
        <v>46019</v>
      </c>
      <c r="F1299" s="5"/>
    </row>
    <row r="1300" spans="1:6" x14ac:dyDescent="0.3">
      <c r="A1300" t="s">
        <v>121</v>
      </c>
      <c r="B1300" t="s">
        <v>122</v>
      </c>
      <c r="C1300">
        <v>2024</v>
      </c>
      <c r="D1300" s="4">
        <v>9450.6200000000008</v>
      </c>
      <c r="E1300" s="26">
        <v>45358</v>
      </c>
      <c r="F1300" s="5"/>
    </row>
    <row r="1301" spans="1:6" x14ac:dyDescent="0.3">
      <c r="A1301" t="s">
        <v>138</v>
      </c>
      <c r="B1301" t="s">
        <v>122</v>
      </c>
      <c r="C1301">
        <v>2025</v>
      </c>
      <c r="D1301" s="4">
        <v>11732.18</v>
      </c>
      <c r="E1301" s="26">
        <v>45795</v>
      </c>
      <c r="F1301" s="5"/>
    </row>
    <row r="1302" spans="1:6" x14ac:dyDescent="0.3">
      <c r="A1302" t="s">
        <v>138</v>
      </c>
      <c r="B1302" t="s">
        <v>122</v>
      </c>
      <c r="C1302">
        <v>2025</v>
      </c>
      <c r="D1302" s="4">
        <v>9122.5400000000009</v>
      </c>
      <c r="E1302" s="26">
        <v>45818</v>
      </c>
      <c r="F1302" s="5"/>
    </row>
    <row r="1303" spans="1:6" x14ac:dyDescent="0.3">
      <c r="A1303" t="s">
        <v>121</v>
      </c>
      <c r="B1303" t="s">
        <v>122</v>
      </c>
      <c r="C1303">
        <v>2023</v>
      </c>
      <c r="D1303" s="4">
        <v>527.79</v>
      </c>
      <c r="E1303" s="26">
        <v>45241</v>
      </c>
      <c r="F1303" s="5"/>
    </row>
    <row r="1304" spans="1:6" x14ac:dyDescent="0.3">
      <c r="A1304" t="s">
        <v>117</v>
      </c>
      <c r="B1304" t="s">
        <v>116</v>
      </c>
      <c r="C1304">
        <v>2023</v>
      </c>
      <c r="D1304" s="4">
        <v>1407.79</v>
      </c>
      <c r="E1304" s="26">
        <v>45004</v>
      </c>
      <c r="F1304" s="5"/>
    </row>
    <row r="1305" spans="1:6" x14ac:dyDescent="0.3">
      <c r="A1305" t="s">
        <v>115</v>
      </c>
      <c r="B1305" t="s">
        <v>116</v>
      </c>
      <c r="C1305">
        <v>2023</v>
      </c>
      <c r="D1305" s="4">
        <v>11160.16</v>
      </c>
      <c r="E1305" s="26">
        <v>45291</v>
      </c>
      <c r="F1305" s="5"/>
    </row>
    <row r="1306" spans="1:6" x14ac:dyDescent="0.3">
      <c r="A1306" t="s">
        <v>123</v>
      </c>
      <c r="B1306" t="s">
        <v>120</v>
      </c>
      <c r="C1306">
        <v>2023</v>
      </c>
      <c r="D1306" s="4">
        <v>8134.48</v>
      </c>
      <c r="E1306" s="26">
        <v>45071</v>
      </c>
      <c r="F1306" s="5"/>
    </row>
    <row r="1307" spans="1:6" x14ac:dyDescent="0.3">
      <c r="A1307" t="s">
        <v>147</v>
      </c>
      <c r="B1307" t="s">
        <v>120</v>
      </c>
      <c r="C1307">
        <v>2024</v>
      </c>
      <c r="D1307" s="4">
        <v>5825.33</v>
      </c>
      <c r="E1307" s="26">
        <v>45456</v>
      </c>
      <c r="F1307" s="5"/>
    </row>
    <row r="1308" spans="1:6" x14ac:dyDescent="0.3">
      <c r="A1308" t="s">
        <v>151</v>
      </c>
      <c r="B1308" t="s">
        <v>120</v>
      </c>
      <c r="C1308">
        <v>2025</v>
      </c>
      <c r="D1308" s="4">
        <v>6175.75</v>
      </c>
      <c r="E1308" s="26">
        <v>45755</v>
      </c>
      <c r="F1308" s="5"/>
    </row>
    <row r="1309" spans="1:6" x14ac:dyDescent="0.3">
      <c r="A1309" t="s">
        <v>159</v>
      </c>
      <c r="B1309" t="s">
        <v>116</v>
      </c>
      <c r="C1309">
        <v>2025</v>
      </c>
      <c r="D1309" s="4">
        <v>9491.52</v>
      </c>
      <c r="E1309" s="26">
        <v>45724</v>
      </c>
      <c r="F1309" s="5"/>
    </row>
    <row r="1310" spans="1:6" x14ac:dyDescent="0.3">
      <c r="A1310" t="s">
        <v>124</v>
      </c>
      <c r="B1310" t="s">
        <v>120</v>
      </c>
      <c r="C1310">
        <v>2023</v>
      </c>
      <c r="D1310" s="4">
        <v>9051.6299999999992</v>
      </c>
      <c r="E1310" s="26">
        <v>44939</v>
      </c>
      <c r="F1310" s="5"/>
    </row>
    <row r="1311" spans="1:6" x14ac:dyDescent="0.3">
      <c r="A1311" t="s">
        <v>153</v>
      </c>
      <c r="B1311" t="s">
        <v>122</v>
      </c>
      <c r="C1311">
        <v>2023</v>
      </c>
      <c r="D1311" s="4">
        <v>10632.26</v>
      </c>
      <c r="E1311" s="26">
        <v>45056</v>
      </c>
      <c r="F1311" s="5"/>
    </row>
    <row r="1312" spans="1:6" x14ac:dyDescent="0.3">
      <c r="A1312" t="s">
        <v>131</v>
      </c>
      <c r="B1312" t="s">
        <v>122</v>
      </c>
      <c r="C1312">
        <v>2023</v>
      </c>
      <c r="D1312" s="4">
        <v>9872.17</v>
      </c>
      <c r="E1312" s="26">
        <v>45020</v>
      </c>
      <c r="F1312" s="5"/>
    </row>
    <row r="1313" spans="1:6" x14ac:dyDescent="0.3">
      <c r="A1313" t="s">
        <v>121</v>
      </c>
      <c r="B1313" t="s">
        <v>122</v>
      </c>
      <c r="C1313">
        <v>2025</v>
      </c>
      <c r="D1313" s="4">
        <v>13007.06</v>
      </c>
      <c r="E1313" s="26">
        <v>45659</v>
      </c>
      <c r="F1313" s="5"/>
    </row>
    <row r="1314" spans="1:6" x14ac:dyDescent="0.3">
      <c r="A1314" t="s">
        <v>142</v>
      </c>
      <c r="B1314" t="s">
        <v>120</v>
      </c>
      <c r="C1314">
        <v>2024</v>
      </c>
      <c r="D1314" s="4">
        <v>11059.11</v>
      </c>
      <c r="E1314" s="26">
        <v>45520</v>
      </c>
      <c r="F1314" s="5"/>
    </row>
    <row r="1315" spans="1:6" x14ac:dyDescent="0.3">
      <c r="A1315" t="s">
        <v>149</v>
      </c>
      <c r="B1315" t="s">
        <v>122</v>
      </c>
      <c r="C1315">
        <v>2023</v>
      </c>
      <c r="D1315" s="4">
        <v>4084.94</v>
      </c>
      <c r="E1315" s="26">
        <v>45104</v>
      </c>
      <c r="F1315" s="5"/>
    </row>
    <row r="1316" spans="1:6" x14ac:dyDescent="0.3">
      <c r="A1316" t="s">
        <v>151</v>
      </c>
      <c r="B1316" t="s">
        <v>120</v>
      </c>
      <c r="C1316">
        <v>2025</v>
      </c>
      <c r="D1316" s="4">
        <v>5652.56</v>
      </c>
      <c r="E1316" s="26">
        <v>45708</v>
      </c>
      <c r="F1316" s="5"/>
    </row>
    <row r="1317" spans="1:6" x14ac:dyDescent="0.3">
      <c r="A1317" t="s">
        <v>159</v>
      </c>
      <c r="B1317" t="s">
        <v>116</v>
      </c>
      <c r="C1317">
        <v>2025</v>
      </c>
      <c r="D1317" s="4">
        <v>2357.2600000000002</v>
      </c>
      <c r="E1317" s="26">
        <v>45897</v>
      </c>
      <c r="F1317" s="5"/>
    </row>
    <row r="1318" spans="1:6" x14ac:dyDescent="0.3">
      <c r="A1318" t="s">
        <v>147</v>
      </c>
      <c r="B1318" t="s">
        <v>120</v>
      </c>
      <c r="C1318">
        <v>2023</v>
      </c>
      <c r="D1318" s="4">
        <v>10505.2</v>
      </c>
      <c r="E1318" s="26">
        <v>45206</v>
      </c>
      <c r="F1318" s="5"/>
    </row>
    <row r="1319" spans="1:6" x14ac:dyDescent="0.3">
      <c r="A1319" t="s">
        <v>124</v>
      </c>
      <c r="B1319" t="s">
        <v>120</v>
      </c>
      <c r="C1319">
        <v>2024</v>
      </c>
      <c r="D1319" s="4">
        <v>13449.85</v>
      </c>
      <c r="E1319" s="26">
        <v>45531</v>
      </c>
      <c r="F1319" s="5"/>
    </row>
    <row r="1320" spans="1:6" x14ac:dyDescent="0.3">
      <c r="A1320" t="s">
        <v>146</v>
      </c>
      <c r="B1320" t="s">
        <v>128</v>
      </c>
      <c r="C1320">
        <v>2024</v>
      </c>
      <c r="D1320" s="4">
        <v>9546.59</v>
      </c>
      <c r="E1320" s="26">
        <v>45537</v>
      </c>
      <c r="F1320" s="5"/>
    </row>
    <row r="1321" spans="1:6" x14ac:dyDescent="0.3">
      <c r="A1321" t="s">
        <v>140</v>
      </c>
      <c r="B1321" t="s">
        <v>128</v>
      </c>
      <c r="C1321">
        <v>2023</v>
      </c>
      <c r="D1321" s="4">
        <v>7838.63</v>
      </c>
      <c r="E1321" s="26">
        <v>44949</v>
      </c>
      <c r="F1321" s="5"/>
    </row>
    <row r="1322" spans="1:6" x14ac:dyDescent="0.3">
      <c r="A1322" t="s">
        <v>123</v>
      </c>
      <c r="B1322" t="s">
        <v>120</v>
      </c>
      <c r="C1322">
        <v>2023</v>
      </c>
      <c r="D1322" s="4">
        <v>1900.65</v>
      </c>
      <c r="E1322" s="26">
        <v>45216</v>
      </c>
      <c r="F1322" s="5"/>
    </row>
    <row r="1323" spans="1:6" x14ac:dyDescent="0.3">
      <c r="A1323" t="s">
        <v>150</v>
      </c>
      <c r="B1323" t="s">
        <v>116</v>
      </c>
      <c r="C1323">
        <v>2025</v>
      </c>
      <c r="D1323" s="4">
        <v>7612.7</v>
      </c>
      <c r="E1323" s="26">
        <v>45734</v>
      </c>
      <c r="F1323" s="5"/>
    </row>
    <row r="1324" spans="1:6" x14ac:dyDescent="0.3">
      <c r="A1324" t="s">
        <v>158</v>
      </c>
      <c r="B1324" t="s">
        <v>120</v>
      </c>
      <c r="C1324">
        <v>2024</v>
      </c>
      <c r="D1324" s="4">
        <v>3098.73</v>
      </c>
      <c r="E1324" s="26">
        <v>45551</v>
      </c>
      <c r="F1324" s="5"/>
    </row>
    <row r="1325" spans="1:6" x14ac:dyDescent="0.3">
      <c r="A1325" t="s">
        <v>139</v>
      </c>
      <c r="B1325" t="s">
        <v>120</v>
      </c>
      <c r="C1325">
        <v>2024</v>
      </c>
      <c r="D1325" s="4">
        <v>5894.63</v>
      </c>
      <c r="E1325" s="26">
        <v>45360</v>
      </c>
      <c r="F1325" s="5"/>
    </row>
    <row r="1326" spans="1:6" x14ac:dyDescent="0.3">
      <c r="A1326" t="s">
        <v>132</v>
      </c>
      <c r="B1326" t="s">
        <v>128</v>
      </c>
      <c r="C1326">
        <v>2023</v>
      </c>
      <c r="D1326" s="4">
        <v>2421.17</v>
      </c>
      <c r="E1326" s="26">
        <v>45218</v>
      </c>
      <c r="F1326" s="5"/>
    </row>
    <row r="1327" spans="1:6" x14ac:dyDescent="0.3">
      <c r="A1327" t="s">
        <v>147</v>
      </c>
      <c r="B1327" t="s">
        <v>120</v>
      </c>
      <c r="C1327">
        <v>2024</v>
      </c>
      <c r="D1327" s="4">
        <v>2881.7</v>
      </c>
      <c r="E1327" s="26">
        <v>45444</v>
      </c>
      <c r="F1327" s="5"/>
    </row>
    <row r="1328" spans="1:6" x14ac:dyDescent="0.3">
      <c r="A1328" t="s">
        <v>119</v>
      </c>
      <c r="B1328" t="s">
        <v>120</v>
      </c>
      <c r="C1328">
        <v>2023</v>
      </c>
      <c r="D1328" s="4">
        <v>11949.15</v>
      </c>
      <c r="E1328" s="26">
        <v>45038</v>
      </c>
      <c r="F1328" s="5"/>
    </row>
    <row r="1329" spans="1:6" x14ac:dyDescent="0.3">
      <c r="A1329" t="s">
        <v>123</v>
      </c>
      <c r="B1329" t="s">
        <v>120</v>
      </c>
      <c r="C1329">
        <v>2025</v>
      </c>
      <c r="D1329" s="4">
        <v>9096.51</v>
      </c>
      <c r="E1329" s="26">
        <v>45871</v>
      </c>
      <c r="F1329" s="5"/>
    </row>
    <row r="1330" spans="1:6" x14ac:dyDescent="0.3">
      <c r="A1330" t="s">
        <v>121</v>
      </c>
      <c r="B1330" t="s">
        <v>122</v>
      </c>
      <c r="C1330">
        <v>2024</v>
      </c>
      <c r="D1330" s="4">
        <v>9469.26</v>
      </c>
      <c r="E1330" s="26">
        <v>45522</v>
      </c>
      <c r="F1330" s="5"/>
    </row>
    <row r="1331" spans="1:6" x14ac:dyDescent="0.3">
      <c r="A1331" t="s">
        <v>135</v>
      </c>
      <c r="B1331" t="s">
        <v>116</v>
      </c>
      <c r="C1331">
        <v>2023</v>
      </c>
      <c r="D1331" s="4">
        <v>2924.36</v>
      </c>
      <c r="E1331" s="26">
        <v>45128</v>
      </c>
      <c r="F1331" s="5"/>
    </row>
    <row r="1332" spans="1:6" x14ac:dyDescent="0.3">
      <c r="A1332" t="s">
        <v>131</v>
      </c>
      <c r="B1332" t="s">
        <v>122</v>
      </c>
      <c r="C1332">
        <v>2025</v>
      </c>
      <c r="D1332" s="4">
        <v>13331.25</v>
      </c>
      <c r="E1332" s="26">
        <v>45924</v>
      </c>
      <c r="F1332" s="5"/>
    </row>
    <row r="1333" spans="1:6" x14ac:dyDescent="0.3">
      <c r="A1333" t="s">
        <v>139</v>
      </c>
      <c r="B1333" t="s">
        <v>120</v>
      </c>
      <c r="C1333">
        <v>2023</v>
      </c>
      <c r="D1333" s="4">
        <v>9463.8799999999992</v>
      </c>
      <c r="E1333" s="26">
        <v>45189</v>
      </c>
      <c r="F1333" s="5"/>
    </row>
    <row r="1334" spans="1:6" x14ac:dyDescent="0.3">
      <c r="A1334" t="s">
        <v>125</v>
      </c>
      <c r="B1334" t="s">
        <v>122</v>
      </c>
      <c r="C1334">
        <v>2023</v>
      </c>
      <c r="D1334" s="4">
        <v>4134.8900000000003</v>
      </c>
      <c r="E1334" s="26">
        <v>45131</v>
      </c>
      <c r="F1334" s="5"/>
    </row>
    <row r="1335" spans="1:6" x14ac:dyDescent="0.3">
      <c r="A1335" t="s">
        <v>121</v>
      </c>
      <c r="B1335" t="s">
        <v>122</v>
      </c>
      <c r="C1335">
        <v>2024</v>
      </c>
      <c r="D1335" s="4">
        <v>4585.45</v>
      </c>
      <c r="E1335" s="26">
        <v>45323</v>
      </c>
      <c r="F1335" s="5"/>
    </row>
    <row r="1336" spans="1:6" x14ac:dyDescent="0.3">
      <c r="A1336" t="s">
        <v>151</v>
      </c>
      <c r="B1336" t="s">
        <v>120</v>
      </c>
      <c r="C1336">
        <v>2024</v>
      </c>
      <c r="D1336" s="4">
        <v>8705.5300000000007</v>
      </c>
      <c r="E1336" s="26">
        <v>45599</v>
      </c>
      <c r="F1336" s="5"/>
    </row>
    <row r="1337" spans="1:6" x14ac:dyDescent="0.3">
      <c r="A1337" t="s">
        <v>149</v>
      </c>
      <c r="B1337" t="s">
        <v>122</v>
      </c>
      <c r="C1337">
        <v>2023</v>
      </c>
      <c r="D1337" s="4">
        <v>8004.62</v>
      </c>
      <c r="E1337" s="26">
        <v>45239</v>
      </c>
      <c r="F1337" s="5"/>
    </row>
    <row r="1338" spans="1:6" x14ac:dyDescent="0.3">
      <c r="A1338" t="s">
        <v>140</v>
      </c>
      <c r="B1338" t="s">
        <v>128</v>
      </c>
      <c r="C1338">
        <v>2024</v>
      </c>
      <c r="D1338" s="4">
        <v>13429.49</v>
      </c>
      <c r="E1338" s="26">
        <v>45574</v>
      </c>
      <c r="F1338" s="5"/>
    </row>
    <row r="1339" spans="1:6" x14ac:dyDescent="0.3">
      <c r="A1339" t="s">
        <v>152</v>
      </c>
      <c r="B1339" t="s">
        <v>116</v>
      </c>
      <c r="C1339">
        <v>2023</v>
      </c>
      <c r="D1339" s="4">
        <v>4522.3599999999997</v>
      </c>
      <c r="E1339" s="26">
        <v>44936</v>
      </c>
      <c r="F1339" s="5"/>
    </row>
    <row r="1340" spans="1:6" x14ac:dyDescent="0.3">
      <c r="A1340" t="s">
        <v>147</v>
      </c>
      <c r="B1340" t="s">
        <v>120</v>
      </c>
      <c r="C1340">
        <v>2025</v>
      </c>
      <c r="D1340" s="4">
        <v>4018.18</v>
      </c>
      <c r="E1340" s="26">
        <v>45820</v>
      </c>
      <c r="F1340" s="5"/>
    </row>
    <row r="1341" spans="1:6" x14ac:dyDescent="0.3">
      <c r="A1341" t="s">
        <v>140</v>
      </c>
      <c r="B1341" t="s">
        <v>128</v>
      </c>
      <c r="C1341">
        <v>2023</v>
      </c>
      <c r="D1341" s="4">
        <v>9578.2099999999991</v>
      </c>
      <c r="E1341" s="26">
        <v>45202</v>
      </c>
      <c r="F1341" s="5"/>
    </row>
    <row r="1342" spans="1:6" x14ac:dyDescent="0.3">
      <c r="A1342" t="s">
        <v>117</v>
      </c>
      <c r="B1342" t="s">
        <v>116</v>
      </c>
      <c r="C1342">
        <v>2025</v>
      </c>
      <c r="D1342" s="4">
        <v>6587.31</v>
      </c>
      <c r="E1342" s="26">
        <v>45909</v>
      </c>
      <c r="F1342" s="5"/>
    </row>
    <row r="1343" spans="1:6" x14ac:dyDescent="0.3">
      <c r="A1343" t="s">
        <v>139</v>
      </c>
      <c r="B1343" t="s">
        <v>120</v>
      </c>
      <c r="C1343">
        <v>2024</v>
      </c>
      <c r="D1343" s="4">
        <v>6920.21</v>
      </c>
      <c r="E1343" s="26">
        <v>45552</v>
      </c>
      <c r="F1343" s="5"/>
    </row>
    <row r="1344" spans="1:6" x14ac:dyDescent="0.3">
      <c r="A1344" t="s">
        <v>142</v>
      </c>
      <c r="B1344" t="s">
        <v>120</v>
      </c>
      <c r="C1344">
        <v>2023</v>
      </c>
      <c r="D1344" s="4">
        <v>9108.61</v>
      </c>
      <c r="E1344" s="26">
        <v>45286</v>
      </c>
      <c r="F1344" s="5"/>
    </row>
    <row r="1345" spans="1:6" x14ac:dyDescent="0.3">
      <c r="A1345" t="s">
        <v>158</v>
      </c>
      <c r="B1345" t="s">
        <v>120</v>
      </c>
      <c r="C1345">
        <v>2024</v>
      </c>
      <c r="D1345" s="4">
        <v>12050.25</v>
      </c>
      <c r="E1345" s="26">
        <v>45501</v>
      </c>
      <c r="F1345" s="5"/>
    </row>
    <row r="1346" spans="1:6" x14ac:dyDescent="0.3">
      <c r="A1346" t="s">
        <v>137</v>
      </c>
      <c r="B1346" t="s">
        <v>128</v>
      </c>
      <c r="C1346">
        <v>2024</v>
      </c>
      <c r="D1346" s="4">
        <v>3832.64</v>
      </c>
      <c r="E1346" s="26">
        <v>45329</v>
      </c>
      <c r="F1346" s="5"/>
    </row>
    <row r="1347" spans="1:6" x14ac:dyDescent="0.3">
      <c r="A1347" t="s">
        <v>121</v>
      </c>
      <c r="B1347" t="s">
        <v>122</v>
      </c>
      <c r="C1347">
        <v>2023</v>
      </c>
      <c r="D1347" s="4">
        <v>12511.05</v>
      </c>
      <c r="E1347" s="26">
        <v>45081</v>
      </c>
      <c r="F1347" s="5"/>
    </row>
    <row r="1348" spans="1:6" x14ac:dyDescent="0.3">
      <c r="A1348" t="s">
        <v>132</v>
      </c>
      <c r="B1348" t="s">
        <v>128</v>
      </c>
      <c r="C1348">
        <v>2023</v>
      </c>
      <c r="D1348" s="4">
        <v>11414.47</v>
      </c>
      <c r="E1348" s="26">
        <v>44990</v>
      </c>
      <c r="F1348" s="5"/>
    </row>
    <row r="1349" spans="1:6" x14ac:dyDescent="0.3">
      <c r="A1349" t="s">
        <v>131</v>
      </c>
      <c r="B1349" t="s">
        <v>122</v>
      </c>
      <c r="C1349">
        <v>2025</v>
      </c>
      <c r="D1349" s="4">
        <v>10814.96</v>
      </c>
      <c r="E1349" s="26">
        <v>45756</v>
      </c>
      <c r="F1349" s="5"/>
    </row>
    <row r="1350" spans="1:6" x14ac:dyDescent="0.3">
      <c r="A1350" t="s">
        <v>138</v>
      </c>
      <c r="B1350" t="s">
        <v>122</v>
      </c>
      <c r="C1350">
        <v>2023</v>
      </c>
      <c r="D1350" s="4">
        <v>7812</v>
      </c>
      <c r="E1350" s="26">
        <v>45002</v>
      </c>
      <c r="F1350" s="5"/>
    </row>
    <row r="1351" spans="1:6" x14ac:dyDescent="0.3">
      <c r="A1351" t="s">
        <v>124</v>
      </c>
      <c r="B1351" t="s">
        <v>120</v>
      </c>
      <c r="C1351">
        <v>2025</v>
      </c>
      <c r="D1351" s="4">
        <v>9223.93</v>
      </c>
      <c r="E1351" s="26">
        <v>45893</v>
      </c>
      <c r="F1351" s="5"/>
    </row>
    <row r="1352" spans="1:6" x14ac:dyDescent="0.3">
      <c r="A1352" t="s">
        <v>146</v>
      </c>
      <c r="B1352" t="s">
        <v>128</v>
      </c>
      <c r="C1352">
        <v>2025</v>
      </c>
      <c r="D1352" s="4">
        <v>5616.48</v>
      </c>
      <c r="E1352" s="26">
        <v>45676</v>
      </c>
      <c r="F1352" s="5"/>
    </row>
    <row r="1353" spans="1:6" x14ac:dyDescent="0.3">
      <c r="A1353" t="s">
        <v>131</v>
      </c>
      <c r="B1353" t="s">
        <v>122</v>
      </c>
      <c r="C1353">
        <v>2024</v>
      </c>
      <c r="D1353" s="4">
        <v>2047.56</v>
      </c>
      <c r="E1353" s="26">
        <v>45522</v>
      </c>
      <c r="F1353" s="5"/>
    </row>
    <row r="1354" spans="1:6" x14ac:dyDescent="0.3">
      <c r="A1354" t="s">
        <v>132</v>
      </c>
      <c r="B1354" t="s">
        <v>128</v>
      </c>
      <c r="C1354">
        <v>2025</v>
      </c>
      <c r="D1354" s="4">
        <v>1449.65</v>
      </c>
      <c r="E1354" s="26">
        <v>45972</v>
      </c>
      <c r="F1354" s="5"/>
    </row>
    <row r="1355" spans="1:6" x14ac:dyDescent="0.3">
      <c r="A1355" t="s">
        <v>140</v>
      </c>
      <c r="B1355" t="s">
        <v>128</v>
      </c>
      <c r="C1355">
        <v>2025</v>
      </c>
      <c r="D1355" s="4">
        <v>346.17</v>
      </c>
      <c r="E1355" s="26">
        <v>45955</v>
      </c>
      <c r="F1355" s="5"/>
    </row>
    <row r="1356" spans="1:6" x14ac:dyDescent="0.3">
      <c r="A1356" t="s">
        <v>125</v>
      </c>
      <c r="B1356" t="s">
        <v>122</v>
      </c>
      <c r="C1356">
        <v>2023</v>
      </c>
      <c r="D1356" s="4">
        <v>10649.44</v>
      </c>
      <c r="E1356" s="26">
        <v>45266</v>
      </c>
      <c r="F1356" s="5"/>
    </row>
    <row r="1357" spans="1:6" x14ac:dyDescent="0.3">
      <c r="A1357" t="s">
        <v>137</v>
      </c>
      <c r="B1357" t="s">
        <v>128</v>
      </c>
      <c r="C1357">
        <v>2025</v>
      </c>
      <c r="D1357" s="4">
        <v>2397.27</v>
      </c>
      <c r="E1357" s="26">
        <v>45840</v>
      </c>
      <c r="F1357" s="5"/>
    </row>
    <row r="1358" spans="1:6" x14ac:dyDescent="0.3">
      <c r="A1358" t="s">
        <v>133</v>
      </c>
      <c r="B1358" t="s">
        <v>128</v>
      </c>
      <c r="C1358">
        <v>2023</v>
      </c>
      <c r="D1358" s="4">
        <v>10355.69</v>
      </c>
      <c r="E1358" s="26">
        <v>45226</v>
      </c>
      <c r="F1358" s="5"/>
    </row>
    <row r="1359" spans="1:6" x14ac:dyDescent="0.3">
      <c r="A1359" t="s">
        <v>126</v>
      </c>
      <c r="B1359" t="s">
        <v>116</v>
      </c>
      <c r="C1359">
        <v>2025</v>
      </c>
      <c r="D1359" s="4">
        <v>757.79</v>
      </c>
      <c r="E1359" s="26">
        <v>45661</v>
      </c>
      <c r="F1359" s="5"/>
    </row>
    <row r="1360" spans="1:6" x14ac:dyDescent="0.3">
      <c r="A1360" t="s">
        <v>156</v>
      </c>
      <c r="B1360" t="s">
        <v>128</v>
      </c>
      <c r="C1360">
        <v>2024</v>
      </c>
      <c r="D1360" s="4">
        <v>1067.48</v>
      </c>
      <c r="E1360" s="26">
        <v>45401</v>
      </c>
      <c r="F1360" s="5"/>
    </row>
    <row r="1361" spans="1:6" x14ac:dyDescent="0.3">
      <c r="A1361" t="s">
        <v>140</v>
      </c>
      <c r="B1361" t="s">
        <v>128</v>
      </c>
      <c r="C1361">
        <v>2024</v>
      </c>
      <c r="D1361" s="4">
        <v>790.76</v>
      </c>
      <c r="E1361" s="26">
        <v>45406</v>
      </c>
      <c r="F1361" s="5"/>
    </row>
    <row r="1362" spans="1:6" x14ac:dyDescent="0.3">
      <c r="A1362" t="s">
        <v>138</v>
      </c>
      <c r="B1362" t="s">
        <v>122</v>
      </c>
      <c r="C1362">
        <v>2025</v>
      </c>
      <c r="D1362" s="4">
        <v>12726.62</v>
      </c>
      <c r="E1362" s="26">
        <v>45987</v>
      </c>
      <c r="F1362" s="5"/>
    </row>
    <row r="1363" spans="1:6" x14ac:dyDescent="0.3">
      <c r="A1363" t="s">
        <v>140</v>
      </c>
      <c r="B1363" t="s">
        <v>128</v>
      </c>
      <c r="C1363">
        <v>2025</v>
      </c>
      <c r="D1363" s="4">
        <v>6681.5</v>
      </c>
      <c r="E1363" s="26">
        <v>45721</v>
      </c>
      <c r="F1363" s="5"/>
    </row>
    <row r="1364" spans="1:6" x14ac:dyDescent="0.3">
      <c r="A1364" t="s">
        <v>129</v>
      </c>
      <c r="B1364" t="s">
        <v>120</v>
      </c>
      <c r="C1364">
        <v>2023</v>
      </c>
      <c r="D1364" s="4">
        <v>750.68</v>
      </c>
      <c r="E1364" s="26">
        <v>45022</v>
      </c>
      <c r="F1364" s="5"/>
    </row>
    <row r="1365" spans="1:6" x14ac:dyDescent="0.3">
      <c r="A1365" t="s">
        <v>136</v>
      </c>
      <c r="B1365" t="s">
        <v>120</v>
      </c>
      <c r="C1365">
        <v>2023</v>
      </c>
      <c r="D1365" s="4">
        <v>9911.56</v>
      </c>
      <c r="E1365" s="26">
        <v>45138</v>
      </c>
      <c r="F1365" s="5"/>
    </row>
    <row r="1366" spans="1:6" x14ac:dyDescent="0.3">
      <c r="A1366" t="s">
        <v>141</v>
      </c>
      <c r="B1366" t="s">
        <v>116</v>
      </c>
      <c r="C1366">
        <v>2024</v>
      </c>
      <c r="D1366" s="4">
        <v>11721.24</v>
      </c>
      <c r="E1366" s="26">
        <v>45487</v>
      </c>
      <c r="F1366" s="5"/>
    </row>
    <row r="1367" spans="1:6" x14ac:dyDescent="0.3">
      <c r="A1367" t="s">
        <v>135</v>
      </c>
      <c r="B1367" t="s">
        <v>116</v>
      </c>
      <c r="C1367">
        <v>2023</v>
      </c>
      <c r="D1367" s="4">
        <v>5397.9</v>
      </c>
      <c r="E1367" s="26">
        <v>45283</v>
      </c>
      <c r="F1367" s="5"/>
    </row>
    <row r="1368" spans="1:6" x14ac:dyDescent="0.3">
      <c r="A1368" t="s">
        <v>127</v>
      </c>
      <c r="B1368" t="s">
        <v>128</v>
      </c>
      <c r="C1368">
        <v>2025</v>
      </c>
      <c r="D1368" s="4">
        <v>8309.9699999999993</v>
      </c>
      <c r="E1368" s="26">
        <v>45675</v>
      </c>
      <c r="F1368" s="5"/>
    </row>
    <row r="1369" spans="1:6" x14ac:dyDescent="0.3">
      <c r="A1369" t="s">
        <v>121</v>
      </c>
      <c r="B1369" t="s">
        <v>122</v>
      </c>
      <c r="C1369">
        <v>2025</v>
      </c>
      <c r="D1369" s="4">
        <v>3671.89</v>
      </c>
      <c r="E1369" s="26">
        <v>45985</v>
      </c>
      <c r="F1369" s="5"/>
    </row>
    <row r="1370" spans="1:6" x14ac:dyDescent="0.3">
      <c r="A1370" t="s">
        <v>147</v>
      </c>
      <c r="B1370" t="s">
        <v>120</v>
      </c>
      <c r="C1370">
        <v>2025</v>
      </c>
      <c r="D1370" s="4">
        <v>5800.62</v>
      </c>
      <c r="E1370" s="26">
        <v>45984</v>
      </c>
      <c r="F1370" s="5"/>
    </row>
    <row r="1371" spans="1:6" x14ac:dyDescent="0.3">
      <c r="A1371" t="s">
        <v>139</v>
      </c>
      <c r="B1371" t="s">
        <v>120</v>
      </c>
      <c r="C1371">
        <v>2025</v>
      </c>
      <c r="D1371" s="4">
        <v>11138.67</v>
      </c>
      <c r="E1371" s="26">
        <v>45924</v>
      </c>
      <c r="F1371" s="5"/>
    </row>
    <row r="1372" spans="1:6" x14ac:dyDescent="0.3">
      <c r="A1372" t="s">
        <v>143</v>
      </c>
      <c r="B1372" t="s">
        <v>122</v>
      </c>
      <c r="C1372">
        <v>2023</v>
      </c>
      <c r="D1372" s="4">
        <v>7125.35</v>
      </c>
      <c r="E1372" s="26">
        <v>44940</v>
      </c>
      <c r="F1372" s="5"/>
    </row>
    <row r="1373" spans="1:6" x14ac:dyDescent="0.3">
      <c r="A1373" t="s">
        <v>137</v>
      </c>
      <c r="B1373" t="s">
        <v>128</v>
      </c>
      <c r="C1373">
        <v>2025</v>
      </c>
      <c r="D1373" s="4">
        <v>2485.36</v>
      </c>
      <c r="E1373" s="26">
        <v>45827</v>
      </c>
      <c r="F1373" s="5"/>
    </row>
    <row r="1374" spans="1:6" x14ac:dyDescent="0.3">
      <c r="A1374" t="s">
        <v>121</v>
      </c>
      <c r="B1374" t="s">
        <v>122</v>
      </c>
      <c r="C1374">
        <v>2025</v>
      </c>
      <c r="D1374" s="4">
        <v>9079.98</v>
      </c>
      <c r="E1374" s="26">
        <v>45980</v>
      </c>
      <c r="F1374" s="5"/>
    </row>
    <row r="1375" spans="1:6" x14ac:dyDescent="0.3">
      <c r="A1375" t="s">
        <v>138</v>
      </c>
      <c r="B1375" t="s">
        <v>122</v>
      </c>
      <c r="C1375">
        <v>2023</v>
      </c>
      <c r="D1375" s="4">
        <v>2779.3</v>
      </c>
      <c r="E1375" s="26">
        <v>45234</v>
      </c>
      <c r="F1375" s="5"/>
    </row>
    <row r="1376" spans="1:6" x14ac:dyDescent="0.3">
      <c r="A1376" t="s">
        <v>140</v>
      </c>
      <c r="B1376" t="s">
        <v>128</v>
      </c>
      <c r="C1376">
        <v>2023</v>
      </c>
      <c r="D1376" s="4">
        <v>9323.31</v>
      </c>
      <c r="E1376" s="26">
        <v>45169</v>
      </c>
      <c r="F1376" s="5"/>
    </row>
    <row r="1377" spans="1:6" x14ac:dyDescent="0.3">
      <c r="A1377" t="s">
        <v>148</v>
      </c>
      <c r="B1377" t="s">
        <v>120</v>
      </c>
      <c r="C1377">
        <v>2024</v>
      </c>
      <c r="D1377" s="4">
        <v>10139.530000000001</v>
      </c>
      <c r="E1377" s="26">
        <v>45603</v>
      </c>
      <c r="F1377" s="5"/>
    </row>
    <row r="1378" spans="1:6" x14ac:dyDescent="0.3">
      <c r="A1378" t="s">
        <v>126</v>
      </c>
      <c r="B1378" t="s">
        <v>116</v>
      </c>
      <c r="C1378">
        <v>2025</v>
      </c>
      <c r="D1378" s="4">
        <v>6810.49</v>
      </c>
      <c r="E1378" s="26">
        <v>45907</v>
      </c>
      <c r="F1378" s="5"/>
    </row>
    <row r="1379" spans="1:6" x14ac:dyDescent="0.3">
      <c r="A1379" t="s">
        <v>131</v>
      </c>
      <c r="B1379" t="s">
        <v>122</v>
      </c>
      <c r="C1379">
        <v>2023</v>
      </c>
      <c r="D1379" s="4">
        <v>9132.18</v>
      </c>
      <c r="E1379" s="26">
        <v>45257</v>
      </c>
      <c r="F1379" s="5"/>
    </row>
    <row r="1380" spans="1:6" x14ac:dyDescent="0.3">
      <c r="A1380" t="s">
        <v>148</v>
      </c>
      <c r="B1380" t="s">
        <v>120</v>
      </c>
      <c r="C1380">
        <v>2023</v>
      </c>
      <c r="D1380" s="4">
        <v>3562.65</v>
      </c>
      <c r="E1380" s="26">
        <v>44972</v>
      </c>
      <c r="F1380" s="5"/>
    </row>
    <row r="1381" spans="1:6" x14ac:dyDescent="0.3">
      <c r="A1381" t="s">
        <v>137</v>
      </c>
      <c r="B1381" t="s">
        <v>128</v>
      </c>
      <c r="C1381">
        <v>2023</v>
      </c>
      <c r="D1381" s="4">
        <v>2059.19</v>
      </c>
      <c r="E1381" s="26">
        <v>45256</v>
      </c>
      <c r="F1381" s="5"/>
    </row>
    <row r="1382" spans="1:6" x14ac:dyDescent="0.3">
      <c r="A1382" t="s">
        <v>132</v>
      </c>
      <c r="B1382" t="s">
        <v>128</v>
      </c>
      <c r="C1382">
        <v>2023</v>
      </c>
      <c r="D1382" s="4">
        <v>12493.01</v>
      </c>
      <c r="E1382" s="26">
        <v>45007</v>
      </c>
      <c r="F1382" s="5"/>
    </row>
    <row r="1383" spans="1:6" x14ac:dyDescent="0.3">
      <c r="A1383" t="s">
        <v>146</v>
      </c>
      <c r="B1383" t="s">
        <v>128</v>
      </c>
      <c r="C1383">
        <v>2023</v>
      </c>
      <c r="D1383" s="4">
        <v>2495.5100000000002</v>
      </c>
      <c r="E1383" s="26">
        <v>45041</v>
      </c>
      <c r="F1383" s="5"/>
    </row>
    <row r="1384" spans="1:6" x14ac:dyDescent="0.3">
      <c r="A1384" t="s">
        <v>119</v>
      </c>
      <c r="B1384" t="s">
        <v>120</v>
      </c>
      <c r="C1384">
        <v>2025</v>
      </c>
      <c r="D1384" s="4">
        <v>13423.69</v>
      </c>
      <c r="E1384" s="26">
        <v>45985</v>
      </c>
      <c r="F1384" s="5"/>
    </row>
    <row r="1385" spans="1:6" x14ac:dyDescent="0.3">
      <c r="A1385" t="s">
        <v>143</v>
      </c>
      <c r="B1385" t="s">
        <v>122</v>
      </c>
      <c r="C1385">
        <v>2023</v>
      </c>
      <c r="D1385" s="4">
        <v>12323.42</v>
      </c>
      <c r="E1385" s="26">
        <v>44965</v>
      </c>
      <c r="F1385" s="5"/>
    </row>
    <row r="1386" spans="1:6" x14ac:dyDescent="0.3">
      <c r="A1386" t="s">
        <v>130</v>
      </c>
      <c r="B1386" t="s">
        <v>116</v>
      </c>
      <c r="C1386">
        <v>2023</v>
      </c>
      <c r="D1386" s="4">
        <v>3188.99</v>
      </c>
      <c r="E1386" s="26">
        <v>45102</v>
      </c>
      <c r="F1386" s="5"/>
    </row>
    <row r="1387" spans="1:6" x14ac:dyDescent="0.3">
      <c r="A1387" t="s">
        <v>143</v>
      </c>
      <c r="B1387" t="s">
        <v>122</v>
      </c>
      <c r="C1387">
        <v>2025</v>
      </c>
      <c r="D1387" s="4">
        <v>12168.77</v>
      </c>
      <c r="E1387" s="26">
        <v>45892</v>
      </c>
      <c r="F1387" s="5"/>
    </row>
    <row r="1388" spans="1:6" x14ac:dyDescent="0.3">
      <c r="A1388" t="s">
        <v>152</v>
      </c>
      <c r="B1388" t="s">
        <v>116</v>
      </c>
      <c r="C1388">
        <v>2024</v>
      </c>
      <c r="D1388" s="4">
        <v>11659.02</v>
      </c>
      <c r="E1388" s="26">
        <v>45376</v>
      </c>
      <c r="F1388" s="5"/>
    </row>
    <row r="1389" spans="1:6" x14ac:dyDescent="0.3">
      <c r="A1389" t="s">
        <v>143</v>
      </c>
      <c r="B1389" t="s">
        <v>122</v>
      </c>
      <c r="C1389">
        <v>2023</v>
      </c>
      <c r="D1389" s="4">
        <v>11165.7</v>
      </c>
      <c r="E1389" s="26">
        <v>45219</v>
      </c>
      <c r="F1389" s="5"/>
    </row>
    <row r="1390" spans="1:6" x14ac:dyDescent="0.3">
      <c r="A1390" t="s">
        <v>119</v>
      </c>
      <c r="B1390" t="s">
        <v>120</v>
      </c>
      <c r="C1390">
        <v>2025</v>
      </c>
      <c r="D1390" s="4">
        <v>3850.39</v>
      </c>
      <c r="E1390" s="26">
        <v>45973</v>
      </c>
      <c r="F1390" s="5"/>
    </row>
    <row r="1391" spans="1:6" x14ac:dyDescent="0.3">
      <c r="A1391" t="s">
        <v>117</v>
      </c>
      <c r="B1391" t="s">
        <v>116</v>
      </c>
      <c r="C1391">
        <v>2025</v>
      </c>
      <c r="D1391" s="4">
        <v>8432.16</v>
      </c>
      <c r="E1391" s="26">
        <v>45855</v>
      </c>
      <c r="F1391" s="5"/>
    </row>
    <row r="1392" spans="1:6" x14ac:dyDescent="0.3">
      <c r="A1392" t="s">
        <v>121</v>
      </c>
      <c r="B1392" t="s">
        <v>122</v>
      </c>
      <c r="C1392">
        <v>2024</v>
      </c>
      <c r="D1392" s="4">
        <v>5419.32</v>
      </c>
      <c r="E1392" s="26">
        <v>45397</v>
      </c>
      <c r="F1392" s="5"/>
    </row>
    <row r="1393" spans="1:6" x14ac:dyDescent="0.3">
      <c r="A1393" t="s">
        <v>137</v>
      </c>
      <c r="B1393" t="s">
        <v>128</v>
      </c>
      <c r="C1393">
        <v>2023</v>
      </c>
      <c r="D1393" s="4">
        <v>428.56</v>
      </c>
      <c r="E1393" s="26">
        <v>45149</v>
      </c>
      <c r="F1393" s="5"/>
    </row>
    <row r="1394" spans="1:6" x14ac:dyDescent="0.3">
      <c r="A1394" t="s">
        <v>141</v>
      </c>
      <c r="B1394" t="s">
        <v>116</v>
      </c>
      <c r="C1394">
        <v>2025</v>
      </c>
      <c r="D1394" s="4">
        <v>9644.2800000000007</v>
      </c>
      <c r="E1394" s="26">
        <v>45959</v>
      </c>
      <c r="F1394" s="5"/>
    </row>
    <row r="1395" spans="1:6" x14ac:dyDescent="0.3">
      <c r="A1395" t="s">
        <v>146</v>
      </c>
      <c r="B1395" t="s">
        <v>128</v>
      </c>
      <c r="C1395">
        <v>2023</v>
      </c>
      <c r="D1395" s="4">
        <v>2648.43</v>
      </c>
      <c r="E1395" s="26">
        <v>45124</v>
      </c>
      <c r="F1395" s="5"/>
    </row>
    <row r="1396" spans="1:6" x14ac:dyDescent="0.3">
      <c r="A1396" t="s">
        <v>153</v>
      </c>
      <c r="B1396" t="s">
        <v>122</v>
      </c>
      <c r="C1396">
        <v>2023</v>
      </c>
      <c r="D1396" s="4">
        <v>12312.99</v>
      </c>
      <c r="E1396" s="26">
        <v>45006</v>
      </c>
      <c r="F1396" s="5"/>
    </row>
    <row r="1397" spans="1:6" x14ac:dyDescent="0.3">
      <c r="A1397" t="s">
        <v>124</v>
      </c>
      <c r="B1397" t="s">
        <v>120</v>
      </c>
      <c r="C1397">
        <v>2025</v>
      </c>
      <c r="D1397" s="4">
        <v>10582.89</v>
      </c>
      <c r="E1397" s="26">
        <v>45957</v>
      </c>
      <c r="F1397" s="5"/>
    </row>
    <row r="1398" spans="1:6" x14ac:dyDescent="0.3">
      <c r="A1398" t="s">
        <v>158</v>
      </c>
      <c r="B1398" t="s">
        <v>120</v>
      </c>
      <c r="C1398">
        <v>2025</v>
      </c>
      <c r="D1398" s="4">
        <v>9299.6200000000008</v>
      </c>
      <c r="E1398" s="26">
        <v>45914</v>
      </c>
      <c r="F1398" s="5"/>
    </row>
    <row r="1399" spans="1:6" x14ac:dyDescent="0.3">
      <c r="A1399" t="s">
        <v>143</v>
      </c>
      <c r="B1399" t="s">
        <v>122</v>
      </c>
      <c r="C1399">
        <v>2023</v>
      </c>
      <c r="D1399" s="4">
        <v>12578.17</v>
      </c>
      <c r="E1399" s="26">
        <v>44929</v>
      </c>
      <c r="F1399" s="5"/>
    </row>
    <row r="1400" spans="1:6" x14ac:dyDescent="0.3">
      <c r="A1400" t="s">
        <v>144</v>
      </c>
      <c r="B1400" t="s">
        <v>116</v>
      </c>
      <c r="C1400">
        <v>2025</v>
      </c>
      <c r="D1400" s="4">
        <v>6005.44</v>
      </c>
      <c r="E1400" s="26">
        <v>45996</v>
      </c>
      <c r="F1400" s="5"/>
    </row>
    <row r="1401" spans="1:6" x14ac:dyDescent="0.3">
      <c r="A1401" t="s">
        <v>134</v>
      </c>
      <c r="B1401" t="s">
        <v>120</v>
      </c>
      <c r="C1401">
        <v>2025</v>
      </c>
      <c r="D1401" s="4">
        <v>6119.6</v>
      </c>
      <c r="E1401" s="26">
        <v>46012</v>
      </c>
      <c r="F1401" s="5"/>
    </row>
    <row r="1402" spans="1:6" x14ac:dyDescent="0.3">
      <c r="A1402" t="s">
        <v>126</v>
      </c>
      <c r="B1402" t="s">
        <v>116</v>
      </c>
      <c r="C1402">
        <v>2025</v>
      </c>
      <c r="D1402" s="4">
        <v>5037.1499999999996</v>
      </c>
      <c r="E1402" s="26">
        <v>45707</v>
      </c>
      <c r="F1402" s="5"/>
    </row>
    <row r="1403" spans="1:6" x14ac:dyDescent="0.3">
      <c r="A1403" t="s">
        <v>133</v>
      </c>
      <c r="B1403" t="s">
        <v>128</v>
      </c>
      <c r="C1403">
        <v>2023</v>
      </c>
      <c r="D1403" s="4">
        <v>6071.75</v>
      </c>
      <c r="E1403" s="26">
        <v>45127</v>
      </c>
      <c r="F1403" s="5"/>
    </row>
    <row r="1404" spans="1:6" x14ac:dyDescent="0.3">
      <c r="A1404" t="s">
        <v>135</v>
      </c>
      <c r="B1404" t="s">
        <v>116</v>
      </c>
      <c r="C1404">
        <v>2025</v>
      </c>
      <c r="D1404" s="4">
        <v>10768.85</v>
      </c>
      <c r="E1404" s="26">
        <v>45904</v>
      </c>
      <c r="F1404" s="5"/>
    </row>
    <row r="1405" spans="1:6" x14ac:dyDescent="0.3">
      <c r="A1405" t="s">
        <v>158</v>
      </c>
      <c r="B1405" t="s">
        <v>120</v>
      </c>
      <c r="C1405">
        <v>2024</v>
      </c>
      <c r="D1405" s="4">
        <v>8456.43</v>
      </c>
      <c r="E1405" s="26">
        <v>45507</v>
      </c>
      <c r="F1405" s="5"/>
    </row>
    <row r="1406" spans="1:6" x14ac:dyDescent="0.3">
      <c r="A1406" t="s">
        <v>124</v>
      </c>
      <c r="B1406" t="s">
        <v>120</v>
      </c>
      <c r="C1406">
        <v>2025</v>
      </c>
      <c r="D1406" s="4">
        <v>3757.71</v>
      </c>
      <c r="E1406" s="26">
        <v>45763</v>
      </c>
      <c r="F1406" s="5"/>
    </row>
    <row r="1407" spans="1:6" x14ac:dyDescent="0.3">
      <c r="A1407" t="s">
        <v>150</v>
      </c>
      <c r="B1407" t="s">
        <v>116</v>
      </c>
      <c r="C1407">
        <v>2023</v>
      </c>
      <c r="D1407" s="4">
        <v>8176.22</v>
      </c>
      <c r="E1407" s="26">
        <v>44941</v>
      </c>
      <c r="F1407" s="5"/>
    </row>
    <row r="1408" spans="1:6" x14ac:dyDescent="0.3">
      <c r="A1408" t="s">
        <v>145</v>
      </c>
      <c r="B1408" t="s">
        <v>120</v>
      </c>
      <c r="C1408">
        <v>2025</v>
      </c>
      <c r="D1408" s="4">
        <v>299.27999999999997</v>
      </c>
      <c r="E1408" s="26">
        <v>45991</v>
      </c>
      <c r="F1408" s="5"/>
    </row>
    <row r="1409" spans="1:6" x14ac:dyDescent="0.3">
      <c r="A1409" t="s">
        <v>138</v>
      </c>
      <c r="B1409" t="s">
        <v>122</v>
      </c>
      <c r="C1409">
        <v>2024</v>
      </c>
      <c r="D1409" s="4">
        <v>5842.06</v>
      </c>
      <c r="E1409" s="26">
        <v>45573</v>
      </c>
      <c r="F1409" s="5"/>
    </row>
    <row r="1410" spans="1:6" x14ac:dyDescent="0.3">
      <c r="A1410" t="s">
        <v>142</v>
      </c>
      <c r="B1410" t="s">
        <v>120</v>
      </c>
      <c r="C1410">
        <v>2023</v>
      </c>
      <c r="D1410" s="4">
        <v>6079.79</v>
      </c>
      <c r="E1410" s="26">
        <v>45243</v>
      </c>
      <c r="F1410" s="5"/>
    </row>
    <row r="1411" spans="1:6" x14ac:dyDescent="0.3">
      <c r="A1411" t="s">
        <v>131</v>
      </c>
      <c r="B1411" t="s">
        <v>122</v>
      </c>
      <c r="C1411">
        <v>2024</v>
      </c>
      <c r="D1411" s="4">
        <v>3805.98</v>
      </c>
      <c r="E1411" s="26">
        <v>45446</v>
      </c>
      <c r="F1411" s="5"/>
    </row>
    <row r="1412" spans="1:6" x14ac:dyDescent="0.3">
      <c r="A1412" t="s">
        <v>124</v>
      </c>
      <c r="B1412" t="s">
        <v>120</v>
      </c>
      <c r="C1412">
        <v>2025</v>
      </c>
      <c r="D1412" s="4">
        <v>7992.45</v>
      </c>
      <c r="E1412" s="26">
        <v>45794</v>
      </c>
      <c r="F1412" s="5"/>
    </row>
    <row r="1413" spans="1:6" x14ac:dyDescent="0.3">
      <c r="A1413" t="s">
        <v>153</v>
      </c>
      <c r="B1413" t="s">
        <v>122</v>
      </c>
      <c r="C1413">
        <v>2024</v>
      </c>
      <c r="D1413" s="4">
        <v>13886.82</v>
      </c>
      <c r="E1413" s="26">
        <v>45491</v>
      </c>
      <c r="F1413" s="5"/>
    </row>
    <row r="1414" spans="1:6" x14ac:dyDescent="0.3">
      <c r="A1414" t="s">
        <v>155</v>
      </c>
      <c r="B1414" t="s">
        <v>128</v>
      </c>
      <c r="C1414">
        <v>2024</v>
      </c>
      <c r="D1414" s="4">
        <v>5902.55</v>
      </c>
      <c r="E1414" s="26">
        <v>45344</v>
      </c>
      <c r="F1414" s="5"/>
    </row>
    <row r="1415" spans="1:6" x14ac:dyDescent="0.3">
      <c r="A1415" t="s">
        <v>123</v>
      </c>
      <c r="B1415" t="s">
        <v>120</v>
      </c>
      <c r="C1415">
        <v>2025</v>
      </c>
      <c r="D1415" s="4">
        <v>2666.33</v>
      </c>
      <c r="E1415" s="26">
        <v>45915</v>
      </c>
      <c r="F1415" s="5"/>
    </row>
    <row r="1416" spans="1:6" x14ac:dyDescent="0.3">
      <c r="A1416" t="s">
        <v>123</v>
      </c>
      <c r="B1416" t="s">
        <v>120</v>
      </c>
      <c r="C1416">
        <v>2025</v>
      </c>
      <c r="D1416" s="4">
        <v>3702.13</v>
      </c>
      <c r="E1416" s="26">
        <v>45917</v>
      </c>
      <c r="F1416" s="5"/>
    </row>
    <row r="1417" spans="1:6" x14ac:dyDescent="0.3">
      <c r="A1417" t="s">
        <v>149</v>
      </c>
      <c r="B1417" t="s">
        <v>122</v>
      </c>
      <c r="C1417">
        <v>2024</v>
      </c>
      <c r="D1417" s="4">
        <v>10883.88</v>
      </c>
      <c r="E1417" s="26">
        <v>45632</v>
      </c>
      <c r="F1417" s="5"/>
    </row>
    <row r="1418" spans="1:6" x14ac:dyDescent="0.3">
      <c r="A1418" t="s">
        <v>155</v>
      </c>
      <c r="B1418" t="s">
        <v>128</v>
      </c>
      <c r="C1418">
        <v>2023</v>
      </c>
      <c r="D1418" s="4">
        <v>11998.99</v>
      </c>
      <c r="E1418" s="26">
        <v>45209</v>
      </c>
      <c r="F1418" s="5"/>
    </row>
    <row r="1419" spans="1:6" x14ac:dyDescent="0.3">
      <c r="A1419" t="s">
        <v>145</v>
      </c>
      <c r="B1419" t="s">
        <v>120</v>
      </c>
      <c r="C1419">
        <v>2024</v>
      </c>
      <c r="D1419" s="4">
        <v>6363.01</v>
      </c>
      <c r="E1419" s="26">
        <v>45397</v>
      </c>
      <c r="F1419" s="5"/>
    </row>
    <row r="1420" spans="1:6" x14ac:dyDescent="0.3">
      <c r="A1420" t="s">
        <v>152</v>
      </c>
      <c r="B1420" t="s">
        <v>116</v>
      </c>
      <c r="C1420">
        <v>2023</v>
      </c>
      <c r="D1420" s="4">
        <v>3159.52</v>
      </c>
      <c r="E1420" s="26">
        <v>45132</v>
      </c>
      <c r="F1420" s="5"/>
    </row>
    <row r="1421" spans="1:6" x14ac:dyDescent="0.3">
      <c r="A1421" t="s">
        <v>155</v>
      </c>
      <c r="B1421" t="s">
        <v>128</v>
      </c>
      <c r="C1421">
        <v>2024</v>
      </c>
      <c r="D1421" s="4">
        <v>11251.78</v>
      </c>
      <c r="E1421" s="26">
        <v>45620</v>
      </c>
      <c r="F1421" s="5"/>
    </row>
    <row r="1422" spans="1:6" x14ac:dyDescent="0.3">
      <c r="A1422" t="s">
        <v>153</v>
      </c>
      <c r="B1422" t="s">
        <v>122</v>
      </c>
      <c r="C1422">
        <v>2023</v>
      </c>
      <c r="D1422" s="4">
        <v>2418.1799999999998</v>
      </c>
      <c r="E1422" s="26">
        <v>45033</v>
      </c>
      <c r="F1422" s="5"/>
    </row>
    <row r="1423" spans="1:6" x14ac:dyDescent="0.3">
      <c r="A1423" t="s">
        <v>150</v>
      </c>
      <c r="B1423" t="s">
        <v>116</v>
      </c>
      <c r="C1423">
        <v>2023</v>
      </c>
      <c r="D1423" s="4">
        <v>11560.93</v>
      </c>
      <c r="E1423" s="26">
        <v>45113</v>
      </c>
      <c r="F1423" s="5"/>
    </row>
    <row r="1424" spans="1:6" x14ac:dyDescent="0.3">
      <c r="A1424" t="s">
        <v>126</v>
      </c>
      <c r="B1424" t="s">
        <v>116</v>
      </c>
      <c r="C1424">
        <v>2025</v>
      </c>
      <c r="D1424" s="4">
        <v>1416.34</v>
      </c>
      <c r="E1424" s="26">
        <v>45818</v>
      </c>
      <c r="F1424" s="5"/>
    </row>
    <row r="1425" spans="1:6" x14ac:dyDescent="0.3">
      <c r="A1425" t="s">
        <v>135</v>
      </c>
      <c r="B1425" t="s">
        <v>116</v>
      </c>
      <c r="C1425">
        <v>2024</v>
      </c>
      <c r="D1425" s="4">
        <v>5317.52</v>
      </c>
      <c r="E1425" s="26">
        <v>45381</v>
      </c>
      <c r="F1425" s="5"/>
    </row>
    <row r="1426" spans="1:6" x14ac:dyDescent="0.3">
      <c r="A1426" t="s">
        <v>143</v>
      </c>
      <c r="B1426" t="s">
        <v>122</v>
      </c>
      <c r="C1426">
        <v>2023</v>
      </c>
      <c r="D1426" s="4">
        <v>10198.030000000001</v>
      </c>
      <c r="E1426" s="26">
        <v>45004</v>
      </c>
      <c r="F1426" s="5"/>
    </row>
    <row r="1427" spans="1:6" x14ac:dyDescent="0.3">
      <c r="A1427" t="s">
        <v>155</v>
      </c>
      <c r="B1427" t="s">
        <v>128</v>
      </c>
      <c r="C1427">
        <v>2025</v>
      </c>
      <c r="D1427" s="4">
        <v>4153.28</v>
      </c>
      <c r="E1427" s="26">
        <v>45994</v>
      </c>
      <c r="F1427" s="5"/>
    </row>
    <row r="1428" spans="1:6" x14ac:dyDescent="0.3">
      <c r="A1428" t="s">
        <v>143</v>
      </c>
      <c r="B1428" t="s">
        <v>122</v>
      </c>
      <c r="C1428">
        <v>2023</v>
      </c>
      <c r="D1428" s="4">
        <v>13250.88</v>
      </c>
      <c r="E1428" s="26">
        <v>45044</v>
      </c>
      <c r="F1428" s="5"/>
    </row>
    <row r="1429" spans="1:6" x14ac:dyDescent="0.3">
      <c r="A1429" t="s">
        <v>119</v>
      </c>
      <c r="B1429" t="s">
        <v>120</v>
      </c>
      <c r="C1429">
        <v>2025</v>
      </c>
      <c r="D1429" s="4">
        <v>6257.81</v>
      </c>
      <c r="E1429" s="26">
        <v>45939</v>
      </c>
      <c r="F1429" s="5"/>
    </row>
    <row r="1430" spans="1:6" x14ac:dyDescent="0.3">
      <c r="A1430" t="s">
        <v>118</v>
      </c>
      <c r="B1430" t="s">
        <v>116</v>
      </c>
      <c r="C1430">
        <v>2025</v>
      </c>
      <c r="D1430" s="4">
        <v>4146.8900000000003</v>
      </c>
      <c r="E1430" s="26">
        <v>45988</v>
      </c>
      <c r="F1430" s="5"/>
    </row>
    <row r="1431" spans="1:6" x14ac:dyDescent="0.3">
      <c r="A1431" t="s">
        <v>134</v>
      </c>
      <c r="B1431" t="s">
        <v>120</v>
      </c>
      <c r="C1431">
        <v>2025</v>
      </c>
      <c r="D1431" s="4">
        <v>7318.23</v>
      </c>
      <c r="E1431" s="26">
        <v>45972</v>
      </c>
      <c r="F1431" s="5"/>
    </row>
    <row r="1432" spans="1:6" x14ac:dyDescent="0.3">
      <c r="A1432" t="s">
        <v>147</v>
      </c>
      <c r="B1432" t="s">
        <v>120</v>
      </c>
      <c r="C1432">
        <v>2023</v>
      </c>
      <c r="D1432" s="4">
        <v>9501.5400000000009</v>
      </c>
      <c r="E1432" s="26">
        <v>45274</v>
      </c>
      <c r="F1432" s="5"/>
    </row>
    <row r="1433" spans="1:6" x14ac:dyDescent="0.3">
      <c r="A1433" t="s">
        <v>140</v>
      </c>
      <c r="B1433" t="s">
        <v>128</v>
      </c>
      <c r="C1433">
        <v>2024</v>
      </c>
      <c r="D1433" s="4">
        <v>9239.26</v>
      </c>
      <c r="E1433" s="26">
        <v>45416</v>
      </c>
      <c r="F1433" s="5"/>
    </row>
    <row r="1434" spans="1:6" x14ac:dyDescent="0.3">
      <c r="A1434" t="s">
        <v>152</v>
      </c>
      <c r="B1434" t="s">
        <v>116</v>
      </c>
      <c r="C1434">
        <v>2023</v>
      </c>
      <c r="D1434" s="4">
        <v>13956.08</v>
      </c>
      <c r="E1434" s="26">
        <v>45104</v>
      </c>
      <c r="F1434" s="5"/>
    </row>
    <row r="1435" spans="1:6" x14ac:dyDescent="0.3">
      <c r="A1435" t="s">
        <v>155</v>
      </c>
      <c r="B1435" t="s">
        <v>128</v>
      </c>
      <c r="C1435">
        <v>2024</v>
      </c>
      <c r="D1435" s="4">
        <v>9441.34</v>
      </c>
      <c r="E1435" s="26">
        <v>45650</v>
      </c>
      <c r="F1435" s="5"/>
    </row>
    <row r="1436" spans="1:6" x14ac:dyDescent="0.3">
      <c r="A1436" t="s">
        <v>155</v>
      </c>
      <c r="B1436" t="s">
        <v>128</v>
      </c>
      <c r="C1436">
        <v>2024</v>
      </c>
      <c r="D1436" s="4">
        <v>7344.85</v>
      </c>
      <c r="E1436" s="26">
        <v>45337</v>
      </c>
      <c r="F1436" s="5"/>
    </row>
    <row r="1437" spans="1:6" x14ac:dyDescent="0.3">
      <c r="A1437" t="s">
        <v>121</v>
      </c>
      <c r="B1437" t="s">
        <v>122</v>
      </c>
      <c r="C1437">
        <v>2023</v>
      </c>
      <c r="D1437" s="4">
        <v>7784.38</v>
      </c>
      <c r="E1437" s="26">
        <v>45111</v>
      </c>
      <c r="F1437" s="5"/>
    </row>
    <row r="1438" spans="1:6" x14ac:dyDescent="0.3">
      <c r="A1438" t="s">
        <v>123</v>
      </c>
      <c r="B1438" t="s">
        <v>120</v>
      </c>
      <c r="C1438">
        <v>2024</v>
      </c>
      <c r="D1438" s="4">
        <v>4995.16</v>
      </c>
      <c r="E1438" s="26">
        <v>45639</v>
      </c>
      <c r="F1438" s="5"/>
    </row>
    <row r="1439" spans="1:6" x14ac:dyDescent="0.3">
      <c r="A1439" t="s">
        <v>154</v>
      </c>
      <c r="B1439" t="s">
        <v>128</v>
      </c>
      <c r="C1439">
        <v>2024</v>
      </c>
      <c r="D1439" s="4">
        <v>8567.82</v>
      </c>
      <c r="E1439" s="26">
        <v>45390</v>
      </c>
      <c r="F1439" s="5"/>
    </row>
    <row r="1440" spans="1:6" x14ac:dyDescent="0.3">
      <c r="A1440" t="s">
        <v>118</v>
      </c>
      <c r="B1440" t="s">
        <v>116</v>
      </c>
      <c r="C1440">
        <v>2025</v>
      </c>
      <c r="D1440" s="4">
        <v>13030.05</v>
      </c>
      <c r="E1440" s="26">
        <v>45858</v>
      </c>
      <c r="F1440" s="5"/>
    </row>
    <row r="1441" spans="1:6" x14ac:dyDescent="0.3">
      <c r="A1441" t="s">
        <v>133</v>
      </c>
      <c r="B1441" t="s">
        <v>128</v>
      </c>
      <c r="C1441">
        <v>2023</v>
      </c>
      <c r="D1441" s="4">
        <v>3803.28</v>
      </c>
      <c r="E1441" s="26">
        <v>44936</v>
      </c>
      <c r="F1441" s="5"/>
    </row>
    <row r="1442" spans="1:6" x14ac:dyDescent="0.3">
      <c r="A1442" t="s">
        <v>148</v>
      </c>
      <c r="B1442" t="s">
        <v>120</v>
      </c>
      <c r="C1442">
        <v>2025</v>
      </c>
      <c r="D1442" s="4">
        <v>1669.22</v>
      </c>
      <c r="E1442" s="26">
        <v>45963</v>
      </c>
      <c r="F1442" s="5"/>
    </row>
    <row r="1443" spans="1:6" x14ac:dyDescent="0.3">
      <c r="A1443" t="s">
        <v>121</v>
      </c>
      <c r="B1443" t="s">
        <v>122</v>
      </c>
      <c r="C1443">
        <v>2025</v>
      </c>
      <c r="D1443" s="4">
        <v>4260.68</v>
      </c>
      <c r="E1443" s="26">
        <v>45957</v>
      </c>
      <c r="F1443" s="5"/>
    </row>
    <row r="1444" spans="1:6" x14ac:dyDescent="0.3">
      <c r="A1444" t="s">
        <v>145</v>
      </c>
      <c r="B1444" t="s">
        <v>120</v>
      </c>
      <c r="C1444">
        <v>2025</v>
      </c>
      <c r="D1444" s="4">
        <v>13402.59</v>
      </c>
      <c r="E1444" s="26">
        <v>45978</v>
      </c>
      <c r="F1444" s="5"/>
    </row>
    <row r="1445" spans="1:6" x14ac:dyDescent="0.3">
      <c r="A1445" t="s">
        <v>124</v>
      </c>
      <c r="B1445" t="s">
        <v>120</v>
      </c>
      <c r="C1445">
        <v>2024</v>
      </c>
      <c r="D1445" s="4">
        <v>9779.85</v>
      </c>
      <c r="E1445" s="26">
        <v>45439</v>
      </c>
      <c r="F1445" s="5"/>
    </row>
    <row r="1446" spans="1:6" x14ac:dyDescent="0.3">
      <c r="A1446" t="s">
        <v>127</v>
      </c>
      <c r="B1446" t="s">
        <v>128</v>
      </c>
      <c r="C1446">
        <v>2025</v>
      </c>
      <c r="D1446" s="4">
        <v>10825.55</v>
      </c>
      <c r="E1446" s="26">
        <v>45917</v>
      </c>
      <c r="F1446" s="5"/>
    </row>
    <row r="1447" spans="1:6" x14ac:dyDescent="0.3">
      <c r="A1447" t="s">
        <v>117</v>
      </c>
      <c r="B1447" t="s">
        <v>116</v>
      </c>
      <c r="C1447">
        <v>2025</v>
      </c>
      <c r="D1447" s="4">
        <v>9606.01</v>
      </c>
      <c r="E1447" s="26">
        <v>45866</v>
      </c>
      <c r="F1447" s="5"/>
    </row>
    <row r="1448" spans="1:6" x14ac:dyDescent="0.3">
      <c r="A1448" t="s">
        <v>131</v>
      </c>
      <c r="B1448" t="s">
        <v>122</v>
      </c>
      <c r="C1448">
        <v>2023</v>
      </c>
      <c r="D1448" s="4">
        <v>6851.19</v>
      </c>
      <c r="E1448" s="26">
        <v>44983</v>
      </c>
      <c r="F1448" s="5"/>
    </row>
    <row r="1449" spans="1:6" x14ac:dyDescent="0.3">
      <c r="A1449" t="s">
        <v>135</v>
      </c>
      <c r="B1449" t="s">
        <v>116</v>
      </c>
      <c r="C1449">
        <v>2023</v>
      </c>
      <c r="D1449" s="4">
        <v>5480.89</v>
      </c>
      <c r="E1449" s="26">
        <v>45065</v>
      </c>
      <c r="F1449" s="5"/>
    </row>
    <row r="1450" spans="1:6" x14ac:dyDescent="0.3">
      <c r="A1450" t="s">
        <v>147</v>
      </c>
      <c r="B1450" t="s">
        <v>120</v>
      </c>
      <c r="C1450">
        <v>2024</v>
      </c>
      <c r="D1450" s="4">
        <v>11242.23</v>
      </c>
      <c r="E1450" s="26">
        <v>45397</v>
      </c>
      <c r="F1450" s="5"/>
    </row>
    <row r="1451" spans="1:6" x14ac:dyDescent="0.3">
      <c r="A1451" t="s">
        <v>148</v>
      </c>
      <c r="B1451" t="s">
        <v>120</v>
      </c>
      <c r="C1451">
        <v>2024</v>
      </c>
      <c r="D1451" s="4">
        <v>7327.76</v>
      </c>
      <c r="E1451" s="26">
        <v>45650</v>
      </c>
      <c r="F1451" s="5"/>
    </row>
    <row r="1452" spans="1:6" x14ac:dyDescent="0.3">
      <c r="A1452" t="s">
        <v>150</v>
      </c>
      <c r="B1452" t="s">
        <v>116</v>
      </c>
      <c r="C1452">
        <v>2024</v>
      </c>
      <c r="D1452" s="4">
        <v>3625.96</v>
      </c>
      <c r="E1452" s="26">
        <v>45466</v>
      </c>
      <c r="F1452" s="5"/>
    </row>
    <row r="1453" spans="1:6" x14ac:dyDescent="0.3">
      <c r="A1453" t="s">
        <v>158</v>
      </c>
      <c r="B1453" t="s">
        <v>120</v>
      </c>
      <c r="C1453">
        <v>2025</v>
      </c>
      <c r="D1453" s="4">
        <v>9497.0300000000007</v>
      </c>
      <c r="E1453" s="26">
        <v>45744</v>
      </c>
      <c r="F1453" s="5"/>
    </row>
    <row r="1454" spans="1:6" x14ac:dyDescent="0.3">
      <c r="A1454" t="s">
        <v>117</v>
      </c>
      <c r="B1454" t="s">
        <v>116</v>
      </c>
      <c r="C1454">
        <v>2023</v>
      </c>
      <c r="D1454" s="4">
        <v>7852.81</v>
      </c>
      <c r="E1454" s="26">
        <v>45082</v>
      </c>
      <c r="F1454" s="5"/>
    </row>
    <row r="1455" spans="1:6" x14ac:dyDescent="0.3">
      <c r="A1455" t="s">
        <v>119</v>
      </c>
      <c r="B1455" t="s">
        <v>120</v>
      </c>
      <c r="C1455">
        <v>2025</v>
      </c>
      <c r="D1455" s="4">
        <v>4531.4399999999996</v>
      </c>
      <c r="E1455" s="26">
        <v>45902</v>
      </c>
      <c r="F1455" s="5"/>
    </row>
    <row r="1456" spans="1:6" x14ac:dyDescent="0.3">
      <c r="A1456" t="s">
        <v>138</v>
      </c>
      <c r="B1456" t="s">
        <v>122</v>
      </c>
      <c r="C1456">
        <v>2024</v>
      </c>
      <c r="D1456" s="4">
        <v>2722.43</v>
      </c>
      <c r="E1456" s="26">
        <v>45478</v>
      </c>
      <c r="F1456" s="5"/>
    </row>
    <row r="1457" spans="1:6" x14ac:dyDescent="0.3">
      <c r="A1457" t="s">
        <v>118</v>
      </c>
      <c r="B1457" t="s">
        <v>116</v>
      </c>
      <c r="C1457">
        <v>2025</v>
      </c>
      <c r="D1457" s="4">
        <v>10372.15</v>
      </c>
      <c r="E1457" s="26">
        <v>45948</v>
      </c>
      <c r="F1457" s="5"/>
    </row>
    <row r="1458" spans="1:6" x14ac:dyDescent="0.3">
      <c r="A1458" t="s">
        <v>125</v>
      </c>
      <c r="B1458" t="s">
        <v>122</v>
      </c>
      <c r="C1458">
        <v>2024</v>
      </c>
      <c r="D1458" s="4">
        <v>12243.85</v>
      </c>
      <c r="E1458" s="26">
        <v>45422</v>
      </c>
      <c r="F1458" s="5"/>
    </row>
    <row r="1459" spans="1:6" x14ac:dyDescent="0.3">
      <c r="A1459" t="s">
        <v>138</v>
      </c>
      <c r="B1459" t="s">
        <v>122</v>
      </c>
      <c r="C1459">
        <v>2024</v>
      </c>
      <c r="D1459" s="4">
        <v>2998.18</v>
      </c>
      <c r="E1459" s="26">
        <v>45396</v>
      </c>
      <c r="F1459" s="5"/>
    </row>
    <row r="1460" spans="1:6" x14ac:dyDescent="0.3">
      <c r="A1460" t="s">
        <v>125</v>
      </c>
      <c r="B1460" t="s">
        <v>122</v>
      </c>
      <c r="C1460">
        <v>2024</v>
      </c>
      <c r="D1460" s="4">
        <v>2352.7399999999998</v>
      </c>
      <c r="E1460" s="26">
        <v>45656</v>
      </c>
      <c r="F1460" s="5"/>
    </row>
    <row r="1461" spans="1:6" x14ac:dyDescent="0.3">
      <c r="A1461" t="s">
        <v>142</v>
      </c>
      <c r="B1461" t="s">
        <v>120</v>
      </c>
      <c r="C1461">
        <v>2023</v>
      </c>
      <c r="D1461" s="4">
        <v>12898.6</v>
      </c>
      <c r="E1461" s="26">
        <v>45172</v>
      </c>
      <c r="F1461" s="5"/>
    </row>
    <row r="1462" spans="1:6" x14ac:dyDescent="0.3">
      <c r="A1462" t="s">
        <v>156</v>
      </c>
      <c r="B1462" t="s">
        <v>128</v>
      </c>
      <c r="C1462">
        <v>2023</v>
      </c>
      <c r="D1462" s="4">
        <v>10746.57</v>
      </c>
      <c r="E1462" s="26">
        <v>44940</v>
      </c>
      <c r="F1462" s="5"/>
    </row>
    <row r="1463" spans="1:6" x14ac:dyDescent="0.3">
      <c r="A1463" t="s">
        <v>124</v>
      </c>
      <c r="B1463" t="s">
        <v>120</v>
      </c>
      <c r="C1463">
        <v>2023</v>
      </c>
      <c r="D1463" s="4">
        <v>11902.55</v>
      </c>
      <c r="E1463" s="26">
        <v>45013</v>
      </c>
      <c r="F1463" s="5"/>
    </row>
    <row r="1464" spans="1:6" x14ac:dyDescent="0.3">
      <c r="A1464" t="s">
        <v>140</v>
      </c>
      <c r="B1464" t="s">
        <v>128</v>
      </c>
      <c r="C1464">
        <v>2024</v>
      </c>
      <c r="D1464" s="4">
        <v>6994.3</v>
      </c>
      <c r="E1464" s="26">
        <v>45572</v>
      </c>
      <c r="F1464" s="5"/>
    </row>
    <row r="1465" spans="1:6" x14ac:dyDescent="0.3">
      <c r="A1465" t="s">
        <v>133</v>
      </c>
      <c r="B1465" t="s">
        <v>128</v>
      </c>
      <c r="C1465">
        <v>2024</v>
      </c>
      <c r="D1465" s="4">
        <v>6973.11</v>
      </c>
      <c r="E1465" s="26">
        <v>45489</v>
      </c>
      <c r="F1465" s="5"/>
    </row>
    <row r="1466" spans="1:6" x14ac:dyDescent="0.3">
      <c r="A1466" t="s">
        <v>132</v>
      </c>
      <c r="B1466" t="s">
        <v>128</v>
      </c>
      <c r="C1466">
        <v>2024</v>
      </c>
      <c r="D1466" s="4">
        <v>5690.74</v>
      </c>
      <c r="E1466" s="26">
        <v>45500</v>
      </c>
      <c r="F1466" s="5"/>
    </row>
    <row r="1467" spans="1:6" x14ac:dyDescent="0.3">
      <c r="A1467" t="s">
        <v>133</v>
      </c>
      <c r="B1467" t="s">
        <v>128</v>
      </c>
      <c r="C1467">
        <v>2023</v>
      </c>
      <c r="D1467" s="4">
        <v>947.24</v>
      </c>
      <c r="E1467" s="26">
        <v>45189</v>
      </c>
      <c r="F1467" s="5"/>
    </row>
    <row r="1468" spans="1:6" x14ac:dyDescent="0.3">
      <c r="A1468" t="s">
        <v>144</v>
      </c>
      <c r="B1468" t="s">
        <v>116</v>
      </c>
      <c r="C1468">
        <v>2025</v>
      </c>
      <c r="D1468" s="4">
        <v>13167.23</v>
      </c>
      <c r="E1468" s="26">
        <v>45906</v>
      </c>
      <c r="F1468" s="5"/>
    </row>
    <row r="1469" spans="1:6" x14ac:dyDescent="0.3">
      <c r="A1469" t="s">
        <v>134</v>
      </c>
      <c r="B1469" t="s">
        <v>120</v>
      </c>
      <c r="C1469">
        <v>2025</v>
      </c>
      <c r="D1469" s="4">
        <v>4992.59</v>
      </c>
      <c r="E1469" s="26">
        <v>45956</v>
      </c>
      <c r="F1469" s="5"/>
    </row>
    <row r="1470" spans="1:6" x14ac:dyDescent="0.3">
      <c r="A1470" t="s">
        <v>119</v>
      </c>
      <c r="B1470" t="s">
        <v>120</v>
      </c>
      <c r="C1470">
        <v>2025</v>
      </c>
      <c r="D1470" s="4">
        <v>13675.8</v>
      </c>
      <c r="E1470" s="26">
        <v>45863</v>
      </c>
      <c r="F1470" s="5"/>
    </row>
    <row r="1471" spans="1:6" x14ac:dyDescent="0.3">
      <c r="A1471" t="s">
        <v>141</v>
      </c>
      <c r="B1471" t="s">
        <v>116</v>
      </c>
      <c r="C1471">
        <v>2025</v>
      </c>
      <c r="D1471" s="4">
        <v>4555.99</v>
      </c>
      <c r="E1471" s="26">
        <v>45869</v>
      </c>
      <c r="F1471" s="5"/>
    </row>
    <row r="1472" spans="1:6" x14ac:dyDescent="0.3">
      <c r="A1472" t="s">
        <v>150</v>
      </c>
      <c r="B1472" t="s">
        <v>116</v>
      </c>
      <c r="C1472">
        <v>2023</v>
      </c>
      <c r="D1472" s="4">
        <v>9502.6200000000008</v>
      </c>
      <c r="E1472" s="26">
        <v>44951</v>
      </c>
      <c r="F1472" s="5"/>
    </row>
    <row r="1473" spans="1:6" x14ac:dyDescent="0.3">
      <c r="A1473" t="s">
        <v>127</v>
      </c>
      <c r="B1473" t="s">
        <v>128</v>
      </c>
      <c r="C1473">
        <v>2023</v>
      </c>
      <c r="D1473" s="4">
        <v>4691.0200000000004</v>
      </c>
      <c r="E1473" s="26">
        <v>45133</v>
      </c>
      <c r="F1473" s="5"/>
    </row>
    <row r="1474" spans="1:6" x14ac:dyDescent="0.3">
      <c r="A1474" t="s">
        <v>153</v>
      </c>
      <c r="B1474" t="s">
        <v>122</v>
      </c>
      <c r="C1474">
        <v>2024</v>
      </c>
      <c r="D1474" s="4">
        <v>2782.7</v>
      </c>
      <c r="E1474" s="26">
        <v>45458</v>
      </c>
      <c r="F1474" s="5"/>
    </row>
    <row r="1475" spans="1:6" x14ac:dyDescent="0.3">
      <c r="A1475" t="s">
        <v>135</v>
      </c>
      <c r="B1475" t="s">
        <v>116</v>
      </c>
      <c r="C1475">
        <v>2024</v>
      </c>
      <c r="D1475" s="4">
        <v>3917.83</v>
      </c>
      <c r="E1475" s="26">
        <v>45412</v>
      </c>
      <c r="F1475" s="5"/>
    </row>
    <row r="1476" spans="1:6" x14ac:dyDescent="0.3">
      <c r="A1476" t="s">
        <v>153</v>
      </c>
      <c r="B1476" t="s">
        <v>122</v>
      </c>
      <c r="C1476">
        <v>2024</v>
      </c>
      <c r="D1476" s="4">
        <v>5249.75</v>
      </c>
      <c r="E1476" s="26">
        <v>45629</v>
      </c>
      <c r="F1476" s="5"/>
    </row>
    <row r="1477" spans="1:6" x14ac:dyDescent="0.3">
      <c r="A1477" t="s">
        <v>156</v>
      </c>
      <c r="B1477" t="s">
        <v>128</v>
      </c>
      <c r="C1477">
        <v>2025</v>
      </c>
      <c r="D1477" s="4">
        <v>3105.35</v>
      </c>
      <c r="E1477" s="26">
        <v>45795</v>
      </c>
      <c r="F1477" s="5"/>
    </row>
    <row r="1478" spans="1:6" x14ac:dyDescent="0.3">
      <c r="A1478" t="s">
        <v>140</v>
      </c>
      <c r="B1478" t="s">
        <v>128</v>
      </c>
      <c r="C1478">
        <v>2025</v>
      </c>
      <c r="D1478" s="4">
        <v>11989.7</v>
      </c>
      <c r="E1478" s="26">
        <v>45674</v>
      </c>
      <c r="F1478" s="5"/>
    </row>
    <row r="1479" spans="1:6" x14ac:dyDescent="0.3">
      <c r="A1479" t="s">
        <v>154</v>
      </c>
      <c r="B1479" t="s">
        <v>128</v>
      </c>
      <c r="C1479">
        <v>2025</v>
      </c>
      <c r="D1479" s="4">
        <v>2682.47</v>
      </c>
      <c r="E1479" s="26">
        <v>45850</v>
      </c>
      <c r="F1479" s="5"/>
    </row>
    <row r="1480" spans="1:6" x14ac:dyDescent="0.3">
      <c r="A1480" t="s">
        <v>137</v>
      </c>
      <c r="B1480" t="s">
        <v>128</v>
      </c>
      <c r="C1480">
        <v>2024</v>
      </c>
      <c r="D1480" s="4">
        <v>11435.83</v>
      </c>
      <c r="E1480" s="26">
        <v>45395</v>
      </c>
      <c r="F1480" s="5"/>
    </row>
    <row r="1481" spans="1:6" x14ac:dyDescent="0.3">
      <c r="A1481" t="s">
        <v>154</v>
      </c>
      <c r="B1481" t="s">
        <v>128</v>
      </c>
      <c r="C1481">
        <v>2024</v>
      </c>
      <c r="D1481" s="4">
        <v>7863.69</v>
      </c>
      <c r="E1481" s="26">
        <v>45409</v>
      </c>
      <c r="F1481" s="5"/>
    </row>
    <row r="1482" spans="1:6" x14ac:dyDescent="0.3">
      <c r="A1482" t="s">
        <v>127</v>
      </c>
      <c r="B1482" t="s">
        <v>128</v>
      </c>
      <c r="C1482">
        <v>2024</v>
      </c>
      <c r="D1482" s="4">
        <v>2212.64</v>
      </c>
      <c r="E1482" s="26">
        <v>45328</v>
      </c>
      <c r="F1482" s="5"/>
    </row>
    <row r="1483" spans="1:6" x14ac:dyDescent="0.3">
      <c r="A1483" t="s">
        <v>146</v>
      </c>
      <c r="B1483" t="s">
        <v>128</v>
      </c>
      <c r="C1483">
        <v>2025</v>
      </c>
      <c r="D1483" s="4">
        <v>11318.22</v>
      </c>
      <c r="E1483" s="26">
        <v>45895</v>
      </c>
      <c r="F1483" s="5"/>
    </row>
    <row r="1484" spans="1:6" x14ac:dyDescent="0.3">
      <c r="A1484" t="s">
        <v>119</v>
      </c>
      <c r="B1484" t="s">
        <v>120</v>
      </c>
      <c r="C1484">
        <v>2025</v>
      </c>
      <c r="D1484" s="4">
        <v>7094.45</v>
      </c>
      <c r="E1484" s="26">
        <v>45790</v>
      </c>
      <c r="F1484" s="5"/>
    </row>
    <row r="1485" spans="1:6" x14ac:dyDescent="0.3">
      <c r="A1485" t="s">
        <v>141</v>
      </c>
      <c r="B1485" t="s">
        <v>116</v>
      </c>
      <c r="C1485">
        <v>2025</v>
      </c>
      <c r="D1485" s="4">
        <v>10143.73</v>
      </c>
      <c r="E1485" s="26">
        <v>46020</v>
      </c>
      <c r="F1485" s="5"/>
    </row>
    <row r="1486" spans="1:6" x14ac:dyDescent="0.3">
      <c r="A1486" t="s">
        <v>156</v>
      </c>
      <c r="B1486" t="s">
        <v>128</v>
      </c>
      <c r="C1486">
        <v>2024</v>
      </c>
      <c r="D1486" s="4">
        <v>3663.44</v>
      </c>
      <c r="E1486" s="26">
        <v>45541</v>
      </c>
      <c r="F1486" s="5"/>
    </row>
    <row r="1487" spans="1:6" x14ac:dyDescent="0.3">
      <c r="A1487" t="s">
        <v>133</v>
      </c>
      <c r="B1487" t="s">
        <v>128</v>
      </c>
      <c r="C1487">
        <v>2023</v>
      </c>
      <c r="D1487" s="4">
        <v>5697.95</v>
      </c>
      <c r="E1487" s="26">
        <v>45024</v>
      </c>
      <c r="F1487" s="5"/>
    </row>
    <row r="1488" spans="1:6" x14ac:dyDescent="0.3">
      <c r="A1488" t="s">
        <v>152</v>
      </c>
      <c r="B1488" t="s">
        <v>116</v>
      </c>
      <c r="C1488">
        <v>2023</v>
      </c>
      <c r="D1488" s="4">
        <v>3173.45</v>
      </c>
      <c r="E1488" s="26">
        <v>45049</v>
      </c>
      <c r="F1488" s="5"/>
    </row>
    <row r="1489" spans="1:6" x14ac:dyDescent="0.3">
      <c r="A1489" t="s">
        <v>135</v>
      </c>
      <c r="B1489" t="s">
        <v>116</v>
      </c>
      <c r="C1489">
        <v>2025</v>
      </c>
      <c r="D1489" s="4">
        <v>11777.81</v>
      </c>
      <c r="E1489" s="26">
        <v>45902</v>
      </c>
      <c r="F1489" s="5"/>
    </row>
    <row r="1490" spans="1:6" x14ac:dyDescent="0.3">
      <c r="A1490" t="s">
        <v>142</v>
      </c>
      <c r="B1490" t="s">
        <v>120</v>
      </c>
      <c r="C1490">
        <v>2025</v>
      </c>
      <c r="D1490" s="4">
        <v>10475.39</v>
      </c>
      <c r="E1490" s="26">
        <v>45848</v>
      </c>
      <c r="F1490" s="5"/>
    </row>
    <row r="1491" spans="1:6" x14ac:dyDescent="0.3">
      <c r="A1491" t="s">
        <v>135</v>
      </c>
      <c r="B1491" t="s">
        <v>116</v>
      </c>
      <c r="C1491">
        <v>2025</v>
      </c>
      <c r="D1491" s="4">
        <v>5172.2299999999996</v>
      </c>
      <c r="E1491" s="26">
        <v>45666</v>
      </c>
      <c r="F1491" s="5"/>
    </row>
    <row r="1492" spans="1:6" x14ac:dyDescent="0.3">
      <c r="A1492" t="s">
        <v>123</v>
      </c>
      <c r="B1492" t="s">
        <v>120</v>
      </c>
      <c r="C1492">
        <v>2024</v>
      </c>
      <c r="D1492" s="4">
        <v>4949.1400000000003</v>
      </c>
      <c r="E1492" s="26">
        <v>45454</v>
      </c>
      <c r="F1492" s="5"/>
    </row>
    <row r="1493" spans="1:6" x14ac:dyDescent="0.3">
      <c r="A1493" t="s">
        <v>148</v>
      </c>
      <c r="B1493" t="s">
        <v>120</v>
      </c>
      <c r="C1493">
        <v>2023</v>
      </c>
      <c r="D1493" s="4">
        <v>5045.05</v>
      </c>
      <c r="E1493" s="26">
        <v>45175</v>
      </c>
      <c r="F1493" s="5"/>
    </row>
    <row r="1494" spans="1:6" x14ac:dyDescent="0.3">
      <c r="A1494" t="s">
        <v>143</v>
      </c>
      <c r="B1494" t="s">
        <v>122</v>
      </c>
      <c r="C1494">
        <v>2024</v>
      </c>
      <c r="D1494" s="4">
        <v>8160.58</v>
      </c>
      <c r="E1494" s="26">
        <v>45334</v>
      </c>
      <c r="F1494" s="5"/>
    </row>
    <row r="1495" spans="1:6" x14ac:dyDescent="0.3">
      <c r="A1495" t="s">
        <v>124</v>
      </c>
      <c r="B1495" t="s">
        <v>120</v>
      </c>
      <c r="C1495">
        <v>2023</v>
      </c>
      <c r="D1495" s="4">
        <v>13715.35</v>
      </c>
      <c r="E1495" s="26">
        <v>45284</v>
      </c>
      <c r="F1495" s="5"/>
    </row>
    <row r="1496" spans="1:6" x14ac:dyDescent="0.3">
      <c r="A1496" t="s">
        <v>130</v>
      </c>
      <c r="B1496" t="s">
        <v>116</v>
      </c>
      <c r="C1496">
        <v>2024</v>
      </c>
      <c r="D1496" s="4">
        <v>4686.25</v>
      </c>
      <c r="E1496" s="26">
        <v>45654</v>
      </c>
      <c r="F1496" s="5"/>
    </row>
    <row r="1497" spans="1:6" x14ac:dyDescent="0.3">
      <c r="A1497" t="s">
        <v>132</v>
      </c>
      <c r="B1497" t="s">
        <v>128</v>
      </c>
      <c r="C1497">
        <v>2025</v>
      </c>
      <c r="D1497" s="4">
        <v>10891.47</v>
      </c>
      <c r="E1497" s="26">
        <v>45925</v>
      </c>
      <c r="F1497" s="5"/>
    </row>
    <row r="1498" spans="1:6" x14ac:dyDescent="0.3">
      <c r="A1498" t="s">
        <v>151</v>
      </c>
      <c r="B1498" t="s">
        <v>120</v>
      </c>
      <c r="C1498">
        <v>2023</v>
      </c>
      <c r="D1498" s="4">
        <v>5458.78</v>
      </c>
      <c r="E1498" s="26">
        <v>45087</v>
      </c>
      <c r="F1498" s="5"/>
    </row>
    <row r="1499" spans="1:6" x14ac:dyDescent="0.3">
      <c r="A1499" t="s">
        <v>130</v>
      </c>
      <c r="B1499" t="s">
        <v>116</v>
      </c>
      <c r="C1499">
        <v>2025</v>
      </c>
      <c r="D1499" s="4">
        <v>8917.6299999999992</v>
      </c>
      <c r="E1499" s="26">
        <v>45876</v>
      </c>
      <c r="F1499" s="5"/>
    </row>
    <row r="1500" spans="1:6" x14ac:dyDescent="0.3">
      <c r="A1500" t="s">
        <v>146</v>
      </c>
      <c r="B1500" t="s">
        <v>128</v>
      </c>
      <c r="C1500">
        <v>2023</v>
      </c>
      <c r="D1500" s="4">
        <v>9040.01</v>
      </c>
      <c r="E1500" s="26">
        <v>45270</v>
      </c>
      <c r="F1500" s="5"/>
    </row>
    <row r="1501" spans="1:6" x14ac:dyDescent="0.3">
      <c r="A1501" t="s">
        <v>117</v>
      </c>
      <c r="B1501" t="s">
        <v>116</v>
      </c>
      <c r="C1501">
        <v>2025</v>
      </c>
      <c r="D1501" s="4">
        <v>8911.57</v>
      </c>
      <c r="E1501" s="26">
        <v>45790</v>
      </c>
      <c r="F1501" s="5"/>
    </row>
    <row r="1502" spans="1:6" x14ac:dyDescent="0.3">
      <c r="A1502" t="s">
        <v>133</v>
      </c>
      <c r="B1502" t="s">
        <v>128</v>
      </c>
      <c r="C1502">
        <v>2025</v>
      </c>
      <c r="D1502" s="4">
        <v>11914.83</v>
      </c>
      <c r="E1502" s="26">
        <v>45755</v>
      </c>
      <c r="F1502" s="5"/>
    </row>
    <row r="1503" spans="1:6" x14ac:dyDescent="0.3">
      <c r="A1503" t="s">
        <v>121</v>
      </c>
      <c r="B1503" t="s">
        <v>122</v>
      </c>
      <c r="C1503">
        <v>2023</v>
      </c>
      <c r="D1503" s="4">
        <v>2435.59</v>
      </c>
      <c r="E1503" s="26">
        <v>45089</v>
      </c>
      <c r="F1503" s="5"/>
    </row>
    <row r="1504" spans="1:6" x14ac:dyDescent="0.3">
      <c r="A1504" t="s">
        <v>147</v>
      </c>
      <c r="B1504" t="s">
        <v>120</v>
      </c>
      <c r="C1504">
        <v>2024</v>
      </c>
      <c r="D1504" s="4">
        <v>4572.92</v>
      </c>
      <c r="E1504" s="26">
        <v>45569</v>
      </c>
      <c r="F1504" s="5"/>
    </row>
    <row r="1505" spans="1:6" x14ac:dyDescent="0.3">
      <c r="A1505" t="s">
        <v>130</v>
      </c>
      <c r="B1505" t="s">
        <v>116</v>
      </c>
      <c r="C1505">
        <v>2024</v>
      </c>
      <c r="D1505" s="4">
        <v>8554.31</v>
      </c>
      <c r="E1505" s="26">
        <v>45474</v>
      </c>
      <c r="F1505" s="5"/>
    </row>
    <row r="1506" spans="1:6" x14ac:dyDescent="0.3">
      <c r="A1506" t="s">
        <v>155</v>
      </c>
      <c r="B1506" t="s">
        <v>128</v>
      </c>
      <c r="C1506">
        <v>2024</v>
      </c>
      <c r="D1506" s="4">
        <v>12450.15</v>
      </c>
      <c r="E1506" s="26">
        <v>45482</v>
      </c>
      <c r="F1506" s="5"/>
    </row>
    <row r="1507" spans="1:6" x14ac:dyDescent="0.3">
      <c r="A1507" t="s">
        <v>140</v>
      </c>
      <c r="B1507" t="s">
        <v>128</v>
      </c>
      <c r="C1507">
        <v>2025</v>
      </c>
      <c r="D1507" s="4">
        <v>13524.26</v>
      </c>
      <c r="E1507" s="26">
        <v>45993</v>
      </c>
      <c r="F1507" s="5"/>
    </row>
    <row r="1508" spans="1:6" x14ac:dyDescent="0.3">
      <c r="A1508" t="s">
        <v>148</v>
      </c>
      <c r="B1508" t="s">
        <v>120</v>
      </c>
      <c r="C1508">
        <v>2023</v>
      </c>
      <c r="D1508" s="4">
        <v>2737.63</v>
      </c>
      <c r="E1508" s="26">
        <v>45269</v>
      </c>
      <c r="F1508" s="5"/>
    </row>
    <row r="1509" spans="1:6" x14ac:dyDescent="0.3">
      <c r="A1509" t="s">
        <v>159</v>
      </c>
      <c r="B1509" t="s">
        <v>116</v>
      </c>
      <c r="C1509">
        <v>2023</v>
      </c>
      <c r="D1509" s="4">
        <v>10243.26</v>
      </c>
      <c r="E1509" s="26">
        <v>45183</v>
      </c>
      <c r="F1509" s="5"/>
    </row>
    <row r="1510" spans="1:6" x14ac:dyDescent="0.3">
      <c r="A1510" t="s">
        <v>135</v>
      </c>
      <c r="B1510" t="s">
        <v>116</v>
      </c>
      <c r="C1510">
        <v>2023</v>
      </c>
      <c r="D1510" s="4">
        <v>3105.89</v>
      </c>
      <c r="E1510" s="26">
        <v>45090</v>
      </c>
      <c r="F1510" s="5"/>
    </row>
    <row r="1511" spans="1:6" x14ac:dyDescent="0.3">
      <c r="A1511" t="s">
        <v>155</v>
      </c>
      <c r="B1511" t="s">
        <v>128</v>
      </c>
      <c r="C1511">
        <v>2023</v>
      </c>
      <c r="D1511" s="4">
        <v>1518.64</v>
      </c>
      <c r="E1511" s="26">
        <v>45137</v>
      </c>
      <c r="F1511" s="5"/>
    </row>
    <row r="1512" spans="1:6" x14ac:dyDescent="0.3">
      <c r="A1512" t="s">
        <v>126</v>
      </c>
      <c r="B1512" t="s">
        <v>116</v>
      </c>
      <c r="C1512">
        <v>2023</v>
      </c>
      <c r="D1512" s="4">
        <v>563.84</v>
      </c>
      <c r="E1512" s="26">
        <v>45037</v>
      </c>
      <c r="F1512" s="5"/>
    </row>
    <row r="1513" spans="1:6" x14ac:dyDescent="0.3">
      <c r="A1513" t="s">
        <v>155</v>
      </c>
      <c r="B1513" t="s">
        <v>128</v>
      </c>
      <c r="C1513">
        <v>2025</v>
      </c>
      <c r="D1513" s="4">
        <v>10756.95</v>
      </c>
      <c r="E1513" s="26">
        <v>46000</v>
      </c>
      <c r="F1513" s="5"/>
    </row>
    <row r="1514" spans="1:6" x14ac:dyDescent="0.3">
      <c r="A1514" t="s">
        <v>158</v>
      </c>
      <c r="B1514" t="s">
        <v>120</v>
      </c>
      <c r="C1514">
        <v>2023</v>
      </c>
      <c r="D1514" s="4">
        <v>3821.84</v>
      </c>
      <c r="E1514" s="26">
        <v>45139</v>
      </c>
      <c r="F1514" s="5"/>
    </row>
    <row r="1515" spans="1:6" x14ac:dyDescent="0.3">
      <c r="A1515" t="s">
        <v>146</v>
      </c>
      <c r="B1515" t="s">
        <v>128</v>
      </c>
      <c r="C1515">
        <v>2023</v>
      </c>
      <c r="D1515" s="4">
        <v>9236.69</v>
      </c>
      <c r="E1515" s="26">
        <v>45099</v>
      </c>
      <c r="F1515" s="5"/>
    </row>
    <row r="1516" spans="1:6" x14ac:dyDescent="0.3">
      <c r="A1516" t="s">
        <v>127</v>
      </c>
      <c r="B1516" t="s">
        <v>128</v>
      </c>
      <c r="C1516">
        <v>2024</v>
      </c>
      <c r="D1516" s="4">
        <v>3365.11</v>
      </c>
      <c r="E1516" s="26">
        <v>45560</v>
      </c>
      <c r="F1516" s="5"/>
    </row>
    <row r="1517" spans="1:6" x14ac:dyDescent="0.3">
      <c r="A1517" t="s">
        <v>130</v>
      </c>
      <c r="B1517" t="s">
        <v>116</v>
      </c>
      <c r="C1517">
        <v>2025</v>
      </c>
      <c r="D1517" s="4">
        <v>8845.43</v>
      </c>
      <c r="E1517" s="26">
        <v>45834</v>
      </c>
      <c r="F1517" s="5"/>
    </row>
    <row r="1518" spans="1:6" x14ac:dyDescent="0.3">
      <c r="A1518" t="s">
        <v>137</v>
      </c>
      <c r="B1518" t="s">
        <v>128</v>
      </c>
      <c r="C1518">
        <v>2025</v>
      </c>
      <c r="D1518" s="4">
        <v>11771.55</v>
      </c>
      <c r="E1518" s="26">
        <v>46005</v>
      </c>
      <c r="F1518" s="5"/>
    </row>
    <row r="1519" spans="1:6" x14ac:dyDescent="0.3">
      <c r="A1519" t="s">
        <v>159</v>
      </c>
      <c r="B1519" t="s">
        <v>116</v>
      </c>
      <c r="C1519">
        <v>2023</v>
      </c>
      <c r="D1519" s="4">
        <v>9356.98</v>
      </c>
      <c r="E1519" s="26">
        <v>44998</v>
      </c>
      <c r="F1519" s="5"/>
    </row>
    <row r="1520" spans="1:6" x14ac:dyDescent="0.3">
      <c r="A1520" t="s">
        <v>136</v>
      </c>
      <c r="B1520" t="s">
        <v>120</v>
      </c>
      <c r="C1520">
        <v>2025</v>
      </c>
      <c r="D1520" s="4">
        <v>6647.27</v>
      </c>
      <c r="E1520" s="26">
        <v>45902</v>
      </c>
      <c r="F1520" s="5"/>
    </row>
    <row r="1521" spans="1:6" x14ac:dyDescent="0.3">
      <c r="A1521" t="s">
        <v>124</v>
      </c>
      <c r="B1521" t="s">
        <v>120</v>
      </c>
      <c r="C1521">
        <v>2024</v>
      </c>
      <c r="D1521" s="4">
        <v>7769.92</v>
      </c>
      <c r="E1521" s="26">
        <v>45484</v>
      </c>
      <c r="F1521" s="5"/>
    </row>
    <row r="1522" spans="1:6" x14ac:dyDescent="0.3">
      <c r="A1522" t="s">
        <v>137</v>
      </c>
      <c r="B1522" t="s">
        <v>128</v>
      </c>
      <c r="C1522">
        <v>2023</v>
      </c>
      <c r="D1522" s="4">
        <v>8353.4699999999993</v>
      </c>
      <c r="E1522" s="26">
        <v>45289</v>
      </c>
      <c r="F1522" s="5"/>
    </row>
    <row r="1523" spans="1:6" x14ac:dyDescent="0.3">
      <c r="A1523" t="s">
        <v>129</v>
      </c>
      <c r="B1523" t="s">
        <v>120</v>
      </c>
      <c r="C1523">
        <v>2025</v>
      </c>
      <c r="D1523" s="4">
        <v>7423.75</v>
      </c>
      <c r="E1523" s="26">
        <v>45817</v>
      </c>
      <c r="F1523" s="5"/>
    </row>
    <row r="1524" spans="1:6" x14ac:dyDescent="0.3">
      <c r="A1524" t="s">
        <v>124</v>
      </c>
      <c r="B1524" t="s">
        <v>120</v>
      </c>
      <c r="C1524">
        <v>2024</v>
      </c>
      <c r="D1524" s="4">
        <v>12743.14</v>
      </c>
      <c r="E1524" s="26">
        <v>45561</v>
      </c>
      <c r="F1524" s="5"/>
    </row>
    <row r="1525" spans="1:6" x14ac:dyDescent="0.3">
      <c r="A1525" t="s">
        <v>126</v>
      </c>
      <c r="B1525" t="s">
        <v>116</v>
      </c>
      <c r="C1525">
        <v>2024</v>
      </c>
      <c r="D1525" s="4">
        <v>11304.97</v>
      </c>
      <c r="E1525" s="26">
        <v>45392</v>
      </c>
      <c r="F1525" s="5"/>
    </row>
    <row r="1526" spans="1:6" x14ac:dyDescent="0.3">
      <c r="A1526" t="s">
        <v>151</v>
      </c>
      <c r="B1526" t="s">
        <v>120</v>
      </c>
      <c r="C1526">
        <v>2024</v>
      </c>
      <c r="D1526" s="4">
        <v>5247.81</v>
      </c>
      <c r="E1526" s="26">
        <v>45557</v>
      </c>
      <c r="F1526" s="5"/>
    </row>
    <row r="1527" spans="1:6" x14ac:dyDescent="0.3">
      <c r="A1527" t="s">
        <v>135</v>
      </c>
      <c r="B1527" t="s">
        <v>116</v>
      </c>
      <c r="C1527">
        <v>2023</v>
      </c>
      <c r="D1527" s="4">
        <v>4389.3100000000004</v>
      </c>
      <c r="E1527" s="26">
        <v>45245</v>
      </c>
      <c r="F1527" s="5"/>
    </row>
    <row r="1528" spans="1:6" x14ac:dyDescent="0.3">
      <c r="A1528" t="s">
        <v>150</v>
      </c>
      <c r="B1528" t="s">
        <v>116</v>
      </c>
      <c r="C1528">
        <v>2025</v>
      </c>
      <c r="D1528" s="4">
        <v>11452.24</v>
      </c>
      <c r="E1528" s="26">
        <v>45998</v>
      </c>
      <c r="F1528" s="5"/>
    </row>
    <row r="1529" spans="1:6" x14ac:dyDescent="0.3">
      <c r="A1529" t="s">
        <v>137</v>
      </c>
      <c r="B1529" t="s">
        <v>128</v>
      </c>
      <c r="C1529">
        <v>2024</v>
      </c>
      <c r="D1529" s="4">
        <v>4157.32</v>
      </c>
      <c r="E1529" s="26">
        <v>45631</v>
      </c>
      <c r="F1529" s="5"/>
    </row>
    <row r="1530" spans="1:6" x14ac:dyDescent="0.3">
      <c r="A1530" t="s">
        <v>124</v>
      </c>
      <c r="B1530" t="s">
        <v>120</v>
      </c>
      <c r="C1530">
        <v>2023</v>
      </c>
      <c r="D1530" s="4">
        <v>9691.23</v>
      </c>
      <c r="E1530" s="26">
        <v>44944</v>
      </c>
      <c r="F1530" s="5"/>
    </row>
    <row r="1531" spans="1:6" x14ac:dyDescent="0.3">
      <c r="A1531" t="s">
        <v>156</v>
      </c>
      <c r="B1531" t="s">
        <v>128</v>
      </c>
      <c r="C1531">
        <v>2025</v>
      </c>
      <c r="D1531" s="4">
        <v>4334.63</v>
      </c>
      <c r="E1531" s="26">
        <v>45904</v>
      </c>
      <c r="F1531" s="5"/>
    </row>
    <row r="1532" spans="1:6" x14ac:dyDescent="0.3">
      <c r="A1532" t="s">
        <v>144</v>
      </c>
      <c r="B1532" t="s">
        <v>116</v>
      </c>
      <c r="C1532">
        <v>2024</v>
      </c>
      <c r="D1532" s="4">
        <v>8438.65</v>
      </c>
      <c r="E1532" s="26">
        <v>45526</v>
      </c>
      <c r="F1532" s="5"/>
    </row>
    <row r="1533" spans="1:6" x14ac:dyDescent="0.3">
      <c r="A1533" t="s">
        <v>150</v>
      </c>
      <c r="B1533" t="s">
        <v>116</v>
      </c>
      <c r="C1533">
        <v>2025</v>
      </c>
      <c r="D1533" s="4">
        <v>2802.28</v>
      </c>
      <c r="E1533" s="26">
        <v>45692</v>
      </c>
      <c r="F1533" s="5"/>
    </row>
    <row r="1534" spans="1:6" x14ac:dyDescent="0.3">
      <c r="A1534" t="s">
        <v>123</v>
      </c>
      <c r="B1534" t="s">
        <v>120</v>
      </c>
      <c r="C1534">
        <v>2025</v>
      </c>
      <c r="D1534" s="4">
        <v>5647.58</v>
      </c>
      <c r="E1534" s="26">
        <v>45822</v>
      </c>
      <c r="F1534" s="5"/>
    </row>
    <row r="1535" spans="1:6" x14ac:dyDescent="0.3">
      <c r="A1535" t="s">
        <v>152</v>
      </c>
      <c r="B1535" t="s">
        <v>116</v>
      </c>
      <c r="C1535">
        <v>2025</v>
      </c>
      <c r="D1535" s="4">
        <v>11632.29</v>
      </c>
      <c r="E1535" s="26">
        <v>45725</v>
      </c>
      <c r="F1535" s="5"/>
    </row>
    <row r="1536" spans="1:6" x14ac:dyDescent="0.3">
      <c r="A1536" t="s">
        <v>147</v>
      </c>
      <c r="B1536" t="s">
        <v>120</v>
      </c>
      <c r="C1536">
        <v>2024</v>
      </c>
      <c r="D1536" s="4">
        <v>1293.0899999999999</v>
      </c>
      <c r="E1536" s="26">
        <v>45465</v>
      </c>
      <c r="F1536" s="5"/>
    </row>
    <row r="1537" spans="1:6" x14ac:dyDescent="0.3">
      <c r="A1537" t="s">
        <v>125</v>
      </c>
      <c r="B1537" t="s">
        <v>122</v>
      </c>
      <c r="C1537">
        <v>2025</v>
      </c>
      <c r="D1537" s="4">
        <v>10750.63</v>
      </c>
      <c r="E1537" s="26">
        <v>45985</v>
      </c>
      <c r="F1537" s="5"/>
    </row>
    <row r="1538" spans="1:6" x14ac:dyDescent="0.3">
      <c r="A1538" t="s">
        <v>153</v>
      </c>
      <c r="B1538" t="s">
        <v>122</v>
      </c>
      <c r="C1538">
        <v>2024</v>
      </c>
      <c r="D1538" s="4">
        <v>4128.54</v>
      </c>
      <c r="E1538" s="26">
        <v>45483</v>
      </c>
      <c r="F1538" s="5"/>
    </row>
    <row r="1539" spans="1:6" x14ac:dyDescent="0.3">
      <c r="A1539" t="s">
        <v>124</v>
      </c>
      <c r="B1539" t="s">
        <v>120</v>
      </c>
      <c r="C1539">
        <v>2024</v>
      </c>
      <c r="D1539" s="4">
        <v>5898.07</v>
      </c>
      <c r="E1539" s="26">
        <v>45477</v>
      </c>
      <c r="F1539" s="5"/>
    </row>
    <row r="1540" spans="1:6" x14ac:dyDescent="0.3">
      <c r="A1540" t="s">
        <v>121</v>
      </c>
      <c r="B1540" t="s">
        <v>122</v>
      </c>
      <c r="C1540">
        <v>2024</v>
      </c>
      <c r="D1540" s="4">
        <v>2085.41</v>
      </c>
      <c r="E1540" s="26">
        <v>45300</v>
      </c>
      <c r="F1540" s="5"/>
    </row>
    <row r="1541" spans="1:6" x14ac:dyDescent="0.3">
      <c r="A1541" t="s">
        <v>145</v>
      </c>
      <c r="B1541" t="s">
        <v>120</v>
      </c>
      <c r="C1541">
        <v>2025</v>
      </c>
      <c r="D1541" s="4">
        <v>8724.67</v>
      </c>
      <c r="E1541" s="26">
        <v>45859</v>
      </c>
      <c r="F1541" s="5"/>
    </row>
    <row r="1542" spans="1:6" x14ac:dyDescent="0.3">
      <c r="A1542" t="s">
        <v>154</v>
      </c>
      <c r="B1542" t="s">
        <v>128</v>
      </c>
      <c r="C1542">
        <v>2025</v>
      </c>
      <c r="D1542" s="4">
        <v>2791.49</v>
      </c>
      <c r="E1542" s="26">
        <v>45934</v>
      </c>
      <c r="F1542" s="5"/>
    </row>
    <row r="1543" spans="1:6" x14ac:dyDescent="0.3">
      <c r="A1543" t="s">
        <v>159</v>
      </c>
      <c r="B1543" t="s">
        <v>116</v>
      </c>
      <c r="C1543">
        <v>2023</v>
      </c>
      <c r="D1543" s="4">
        <v>884.92</v>
      </c>
      <c r="E1543" s="26">
        <v>45238</v>
      </c>
      <c r="F1543" s="5"/>
    </row>
    <row r="1544" spans="1:6" x14ac:dyDescent="0.3">
      <c r="A1544" t="s">
        <v>124</v>
      </c>
      <c r="B1544" t="s">
        <v>120</v>
      </c>
      <c r="C1544">
        <v>2023</v>
      </c>
      <c r="D1544" s="4">
        <v>2765.94</v>
      </c>
      <c r="E1544" s="26">
        <v>44972</v>
      </c>
      <c r="F1544" s="5"/>
    </row>
    <row r="1545" spans="1:6" x14ac:dyDescent="0.3">
      <c r="A1545" t="s">
        <v>142</v>
      </c>
      <c r="B1545" t="s">
        <v>120</v>
      </c>
      <c r="C1545">
        <v>2024</v>
      </c>
      <c r="D1545" s="4">
        <v>3914.89</v>
      </c>
      <c r="E1545" s="26">
        <v>45504</v>
      </c>
      <c r="F1545" s="5"/>
    </row>
    <row r="1546" spans="1:6" x14ac:dyDescent="0.3">
      <c r="A1546" t="s">
        <v>151</v>
      </c>
      <c r="B1546" t="s">
        <v>120</v>
      </c>
      <c r="C1546">
        <v>2023</v>
      </c>
      <c r="D1546" s="4">
        <v>3412.78</v>
      </c>
      <c r="E1546" s="26">
        <v>44943</v>
      </c>
      <c r="F1546" s="5"/>
    </row>
    <row r="1547" spans="1:6" x14ac:dyDescent="0.3">
      <c r="A1547" t="s">
        <v>146</v>
      </c>
      <c r="B1547" t="s">
        <v>128</v>
      </c>
      <c r="C1547">
        <v>2023</v>
      </c>
      <c r="D1547" s="4">
        <v>7011.4</v>
      </c>
      <c r="E1547" s="26">
        <v>44957</v>
      </c>
      <c r="F1547" s="5"/>
    </row>
    <row r="1548" spans="1:6" x14ac:dyDescent="0.3">
      <c r="A1548" t="s">
        <v>117</v>
      </c>
      <c r="B1548" t="s">
        <v>116</v>
      </c>
      <c r="C1548">
        <v>2025</v>
      </c>
      <c r="D1548" s="4">
        <v>4499.76</v>
      </c>
      <c r="E1548" s="26">
        <v>45787</v>
      </c>
      <c r="F1548" s="5"/>
    </row>
    <row r="1549" spans="1:6" x14ac:dyDescent="0.3">
      <c r="A1549" t="s">
        <v>156</v>
      </c>
      <c r="B1549" t="s">
        <v>128</v>
      </c>
      <c r="C1549">
        <v>2025</v>
      </c>
      <c r="D1549" s="4">
        <v>6598.85</v>
      </c>
      <c r="E1549" s="26">
        <v>45687</v>
      </c>
      <c r="F1549" s="5"/>
    </row>
    <row r="1550" spans="1:6" x14ac:dyDescent="0.3">
      <c r="A1550" t="s">
        <v>134</v>
      </c>
      <c r="B1550" t="s">
        <v>120</v>
      </c>
      <c r="C1550">
        <v>2024</v>
      </c>
      <c r="D1550" s="4">
        <v>1307.08</v>
      </c>
      <c r="E1550" s="26">
        <v>45603</v>
      </c>
      <c r="F1550" s="5"/>
    </row>
    <row r="1551" spans="1:6" x14ac:dyDescent="0.3">
      <c r="A1551" t="s">
        <v>146</v>
      </c>
      <c r="B1551" t="s">
        <v>128</v>
      </c>
      <c r="C1551">
        <v>2023</v>
      </c>
      <c r="D1551" s="4">
        <v>3877.75</v>
      </c>
      <c r="E1551" s="26">
        <v>45041</v>
      </c>
      <c r="F1551" s="5"/>
    </row>
    <row r="1552" spans="1:6" x14ac:dyDescent="0.3">
      <c r="A1552" t="s">
        <v>155</v>
      </c>
      <c r="B1552" t="s">
        <v>128</v>
      </c>
      <c r="C1552">
        <v>2023</v>
      </c>
      <c r="D1552" s="4">
        <v>7696.05</v>
      </c>
      <c r="E1552" s="26">
        <v>45073</v>
      </c>
      <c r="F1552" s="5"/>
    </row>
    <row r="1553" spans="1:6" x14ac:dyDescent="0.3">
      <c r="A1553" t="s">
        <v>119</v>
      </c>
      <c r="B1553" t="s">
        <v>120</v>
      </c>
      <c r="C1553">
        <v>2024</v>
      </c>
      <c r="D1553" s="4">
        <v>12560.65</v>
      </c>
      <c r="E1553" s="26">
        <v>45320</v>
      </c>
      <c r="F1553" s="5"/>
    </row>
    <row r="1554" spans="1:6" x14ac:dyDescent="0.3">
      <c r="A1554" t="s">
        <v>135</v>
      </c>
      <c r="B1554" t="s">
        <v>116</v>
      </c>
      <c r="C1554">
        <v>2025</v>
      </c>
      <c r="D1554" s="4">
        <v>11629.88</v>
      </c>
      <c r="E1554" s="26">
        <v>45708</v>
      </c>
      <c r="F1554" s="5"/>
    </row>
    <row r="1555" spans="1:6" x14ac:dyDescent="0.3">
      <c r="A1555" t="s">
        <v>145</v>
      </c>
      <c r="B1555" t="s">
        <v>120</v>
      </c>
      <c r="C1555">
        <v>2024</v>
      </c>
      <c r="D1555" s="4">
        <v>5510.21</v>
      </c>
      <c r="E1555" s="26">
        <v>45436</v>
      </c>
      <c r="F1555" s="5"/>
    </row>
    <row r="1556" spans="1:6" x14ac:dyDescent="0.3">
      <c r="A1556" t="s">
        <v>151</v>
      </c>
      <c r="B1556" t="s">
        <v>120</v>
      </c>
      <c r="C1556">
        <v>2024</v>
      </c>
      <c r="D1556" s="4">
        <v>10379.14</v>
      </c>
      <c r="E1556" s="26">
        <v>45433</v>
      </c>
      <c r="F1556" s="5"/>
    </row>
    <row r="1557" spans="1:6" x14ac:dyDescent="0.3">
      <c r="A1557" t="s">
        <v>134</v>
      </c>
      <c r="B1557" t="s">
        <v>120</v>
      </c>
      <c r="C1557">
        <v>2024</v>
      </c>
      <c r="D1557" s="4">
        <v>6559.52</v>
      </c>
      <c r="E1557" s="26">
        <v>45334</v>
      </c>
      <c r="F1557" s="5"/>
    </row>
    <row r="1558" spans="1:6" x14ac:dyDescent="0.3">
      <c r="A1558" t="s">
        <v>142</v>
      </c>
      <c r="B1558" t="s">
        <v>120</v>
      </c>
      <c r="C1558">
        <v>2025</v>
      </c>
      <c r="D1558" s="4">
        <v>9390.91</v>
      </c>
      <c r="E1558" s="26">
        <v>45994</v>
      </c>
      <c r="F1558" s="5"/>
    </row>
    <row r="1559" spans="1:6" x14ac:dyDescent="0.3">
      <c r="A1559" t="s">
        <v>138</v>
      </c>
      <c r="B1559" t="s">
        <v>122</v>
      </c>
      <c r="C1559">
        <v>2025</v>
      </c>
      <c r="D1559" s="4">
        <v>5569.9</v>
      </c>
      <c r="E1559" s="26">
        <v>45895</v>
      </c>
      <c r="F1559" s="5"/>
    </row>
    <row r="1560" spans="1:6" x14ac:dyDescent="0.3">
      <c r="A1560" t="s">
        <v>149</v>
      </c>
      <c r="B1560" t="s">
        <v>122</v>
      </c>
      <c r="C1560">
        <v>2024</v>
      </c>
      <c r="D1560" s="4">
        <v>2388.84</v>
      </c>
      <c r="E1560" s="26">
        <v>45588</v>
      </c>
      <c r="F1560" s="5"/>
    </row>
    <row r="1561" spans="1:6" x14ac:dyDescent="0.3">
      <c r="A1561" t="s">
        <v>134</v>
      </c>
      <c r="B1561" t="s">
        <v>120</v>
      </c>
      <c r="C1561">
        <v>2025</v>
      </c>
      <c r="D1561" s="4">
        <v>1885.55</v>
      </c>
      <c r="E1561" s="26">
        <v>45993</v>
      </c>
      <c r="F1561" s="5"/>
    </row>
    <row r="1562" spans="1:6" x14ac:dyDescent="0.3">
      <c r="A1562" t="s">
        <v>126</v>
      </c>
      <c r="B1562" t="s">
        <v>116</v>
      </c>
      <c r="C1562">
        <v>2024</v>
      </c>
      <c r="D1562" s="4">
        <v>2942.39</v>
      </c>
      <c r="E1562" s="26">
        <v>45538</v>
      </c>
      <c r="F1562" s="5"/>
    </row>
    <row r="1563" spans="1:6" x14ac:dyDescent="0.3">
      <c r="A1563" t="s">
        <v>115</v>
      </c>
      <c r="B1563" t="s">
        <v>116</v>
      </c>
      <c r="C1563">
        <v>2024</v>
      </c>
      <c r="D1563" s="4">
        <v>13631.18</v>
      </c>
      <c r="E1563" s="26">
        <v>45373</v>
      </c>
      <c r="F1563" s="5"/>
    </row>
    <row r="1564" spans="1:6" x14ac:dyDescent="0.3">
      <c r="A1564" t="s">
        <v>125</v>
      </c>
      <c r="B1564" t="s">
        <v>122</v>
      </c>
      <c r="C1564">
        <v>2025</v>
      </c>
      <c r="D1564" s="4">
        <v>4678.29</v>
      </c>
      <c r="E1564" s="26">
        <v>45816</v>
      </c>
      <c r="F1564" s="5"/>
    </row>
    <row r="1565" spans="1:6" x14ac:dyDescent="0.3">
      <c r="A1565" t="s">
        <v>152</v>
      </c>
      <c r="B1565" t="s">
        <v>116</v>
      </c>
      <c r="C1565">
        <v>2024</v>
      </c>
      <c r="D1565" s="4">
        <v>8268.82</v>
      </c>
      <c r="E1565" s="26">
        <v>45492</v>
      </c>
      <c r="F1565" s="5"/>
    </row>
    <row r="1566" spans="1:6" x14ac:dyDescent="0.3">
      <c r="A1566" t="s">
        <v>155</v>
      </c>
      <c r="B1566" t="s">
        <v>128</v>
      </c>
      <c r="C1566">
        <v>2024</v>
      </c>
      <c r="D1566" s="4">
        <v>323.23</v>
      </c>
      <c r="E1566" s="26">
        <v>45424</v>
      </c>
      <c r="F1566" s="5"/>
    </row>
    <row r="1567" spans="1:6" x14ac:dyDescent="0.3">
      <c r="A1567" t="s">
        <v>134</v>
      </c>
      <c r="B1567" t="s">
        <v>120</v>
      </c>
      <c r="C1567">
        <v>2025</v>
      </c>
      <c r="D1567" s="4">
        <v>9700.01</v>
      </c>
      <c r="E1567" s="26">
        <v>45900</v>
      </c>
      <c r="F1567" s="5"/>
    </row>
    <row r="1568" spans="1:6" x14ac:dyDescent="0.3">
      <c r="A1568" t="s">
        <v>146</v>
      </c>
      <c r="B1568" t="s">
        <v>128</v>
      </c>
      <c r="C1568">
        <v>2025</v>
      </c>
      <c r="D1568" s="4">
        <v>10837</v>
      </c>
      <c r="E1568" s="26">
        <v>45687</v>
      </c>
      <c r="F1568" s="5"/>
    </row>
    <row r="1569" spans="1:6" x14ac:dyDescent="0.3">
      <c r="A1569" t="s">
        <v>125</v>
      </c>
      <c r="B1569" t="s">
        <v>122</v>
      </c>
      <c r="C1569">
        <v>2023</v>
      </c>
      <c r="D1569" s="4">
        <v>7098.89</v>
      </c>
      <c r="E1569" s="26">
        <v>45249</v>
      </c>
      <c r="F1569" s="5"/>
    </row>
    <row r="1570" spans="1:6" x14ac:dyDescent="0.3">
      <c r="A1570" t="s">
        <v>153</v>
      </c>
      <c r="B1570" t="s">
        <v>122</v>
      </c>
      <c r="C1570">
        <v>2024</v>
      </c>
      <c r="D1570" s="4">
        <v>13045.71</v>
      </c>
      <c r="E1570" s="26">
        <v>45620</v>
      </c>
      <c r="F1570" s="5"/>
    </row>
    <row r="1571" spans="1:6" x14ac:dyDescent="0.3">
      <c r="A1571" t="s">
        <v>115</v>
      </c>
      <c r="B1571" t="s">
        <v>116</v>
      </c>
      <c r="C1571">
        <v>2023</v>
      </c>
      <c r="D1571" s="4">
        <v>5106.1400000000003</v>
      </c>
      <c r="E1571" s="26">
        <v>45049</v>
      </c>
      <c r="F1571" s="5"/>
    </row>
    <row r="1572" spans="1:6" x14ac:dyDescent="0.3">
      <c r="A1572" t="s">
        <v>146</v>
      </c>
      <c r="B1572" t="s">
        <v>128</v>
      </c>
      <c r="C1572">
        <v>2023</v>
      </c>
      <c r="D1572" s="4">
        <v>1936.42</v>
      </c>
      <c r="E1572" s="26">
        <v>45146</v>
      </c>
      <c r="F1572" s="5"/>
    </row>
    <row r="1573" spans="1:6" x14ac:dyDescent="0.3">
      <c r="A1573" t="s">
        <v>147</v>
      </c>
      <c r="B1573" t="s">
        <v>120</v>
      </c>
      <c r="C1573">
        <v>2024</v>
      </c>
      <c r="D1573" s="4">
        <v>13747.12</v>
      </c>
      <c r="E1573" s="26">
        <v>45575</v>
      </c>
      <c r="F1573" s="5"/>
    </row>
    <row r="1574" spans="1:6" x14ac:dyDescent="0.3">
      <c r="A1574" t="s">
        <v>139</v>
      </c>
      <c r="B1574" t="s">
        <v>120</v>
      </c>
      <c r="C1574">
        <v>2025</v>
      </c>
      <c r="D1574" s="4">
        <v>10318.01</v>
      </c>
      <c r="E1574" s="26">
        <v>45825</v>
      </c>
      <c r="F1574" s="5"/>
    </row>
    <row r="1575" spans="1:6" x14ac:dyDescent="0.3">
      <c r="A1575" t="s">
        <v>159</v>
      </c>
      <c r="B1575" t="s">
        <v>116</v>
      </c>
      <c r="C1575">
        <v>2025</v>
      </c>
      <c r="D1575" s="4">
        <v>5142.71</v>
      </c>
      <c r="E1575" s="26">
        <v>45700</v>
      </c>
      <c r="F1575" s="5"/>
    </row>
    <row r="1576" spans="1:6" x14ac:dyDescent="0.3">
      <c r="A1576" t="s">
        <v>137</v>
      </c>
      <c r="B1576" t="s">
        <v>128</v>
      </c>
      <c r="C1576">
        <v>2024</v>
      </c>
      <c r="D1576" s="4">
        <v>12601.55</v>
      </c>
      <c r="E1576" s="26">
        <v>45440</v>
      </c>
      <c r="F1576" s="5"/>
    </row>
    <row r="1577" spans="1:6" x14ac:dyDescent="0.3">
      <c r="A1577" t="s">
        <v>156</v>
      </c>
      <c r="B1577" t="s">
        <v>128</v>
      </c>
      <c r="C1577">
        <v>2025</v>
      </c>
      <c r="D1577" s="4">
        <v>7914.54</v>
      </c>
      <c r="E1577" s="26">
        <v>45823</v>
      </c>
      <c r="F1577" s="5"/>
    </row>
    <row r="1578" spans="1:6" x14ac:dyDescent="0.3">
      <c r="A1578" t="s">
        <v>124</v>
      </c>
      <c r="B1578" t="s">
        <v>120</v>
      </c>
      <c r="C1578">
        <v>2025</v>
      </c>
      <c r="D1578" s="4">
        <v>2818.91</v>
      </c>
      <c r="E1578" s="26">
        <v>45930</v>
      </c>
      <c r="F1578" s="5"/>
    </row>
    <row r="1579" spans="1:6" x14ac:dyDescent="0.3">
      <c r="A1579" t="s">
        <v>119</v>
      </c>
      <c r="B1579" t="s">
        <v>120</v>
      </c>
      <c r="C1579">
        <v>2024</v>
      </c>
      <c r="D1579" s="4">
        <v>4666.8</v>
      </c>
      <c r="E1579" s="26">
        <v>45639</v>
      </c>
      <c r="F1579" s="5"/>
    </row>
    <row r="1580" spans="1:6" x14ac:dyDescent="0.3">
      <c r="A1580" t="s">
        <v>129</v>
      </c>
      <c r="B1580" t="s">
        <v>120</v>
      </c>
      <c r="C1580">
        <v>2024</v>
      </c>
      <c r="D1580" s="4">
        <v>12173.73</v>
      </c>
      <c r="E1580" s="26">
        <v>45490</v>
      </c>
      <c r="F1580" s="5"/>
    </row>
    <row r="1581" spans="1:6" x14ac:dyDescent="0.3">
      <c r="A1581" t="s">
        <v>143</v>
      </c>
      <c r="B1581" t="s">
        <v>122</v>
      </c>
      <c r="C1581">
        <v>2023</v>
      </c>
      <c r="D1581" s="4">
        <v>1150.5</v>
      </c>
      <c r="E1581" s="26">
        <v>45255</v>
      </c>
      <c r="F1581" s="5"/>
    </row>
    <row r="1582" spans="1:6" x14ac:dyDescent="0.3">
      <c r="A1582" t="s">
        <v>146</v>
      </c>
      <c r="B1582" t="s">
        <v>128</v>
      </c>
      <c r="C1582">
        <v>2025</v>
      </c>
      <c r="D1582" s="4">
        <v>4280.28</v>
      </c>
      <c r="E1582" s="26">
        <v>45847</v>
      </c>
      <c r="F1582" s="5"/>
    </row>
    <row r="1583" spans="1:6" x14ac:dyDescent="0.3">
      <c r="A1583" t="s">
        <v>135</v>
      </c>
      <c r="B1583" t="s">
        <v>116</v>
      </c>
      <c r="C1583">
        <v>2025</v>
      </c>
      <c r="D1583" s="4">
        <v>6466.29</v>
      </c>
      <c r="E1583" s="26">
        <v>45678</v>
      </c>
      <c r="F1583" s="5"/>
    </row>
    <row r="1584" spans="1:6" x14ac:dyDescent="0.3">
      <c r="A1584" t="s">
        <v>132</v>
      </c>
      <c r="B1584" t="s">
        <v>128</v>
      </c>
      <c r="C1584">
        <v>2025</v>
      </c>
      <c r="D1584" s="4">
        <v>10324.48</v>
      </c>
      <c r="E1584" s="26">
        <v>45703</v>
      </c>
      <c r="F1584" s="5"/>
    </row>
    <row r="1585" spans="1:6" x14ac:dyDescent="0.3">
      <c r="A1585" t="s">
        <v>159</v>
      </c>
      <c r="B1585" t="s">
        <v>116</v>
      </c>
      <c r="C1585">
        <v>2025</v>
      </c>
      <c r="D1585" s="4">
        <v>10909.03</v>
      </c>
      <c r="E1585" s="26">
        <v>45672</v>
      </c>
      <c r="F1585" s="5"/>
    </row>
    <row r="1586" spans="1:6" x14ac:dyDescent="0.3">
      <c r="A1586" t="s">
        <v>125</v>
      </c>
      <c r="B1586" t="s">
        <v>122</v>
      </c>
      <c r="C1586">
        <v>2024</v>
      </c>
      <c r="D1586" s="4">
        <v>10149.85</v>
      </c>
      <c r="E1586" s="26">
        <v>45583</v>
      </c>
      <c r="F1586" s="5"/>
    </row>
    <row r="1587" spans="1:6" x14ac:dyDescent="0.3">
      <c r="A1587" t="s">
        <v>124</v>
      </c>
      <c r="B1587" t="s">
        <v>120</v>
      </c>
      <c r="C1587">
        <v>2025</v>
      </c>
      <c r="D1587" s="4">
        <v>2820.2</v>
      </c>
      <c r="E1587" s="26">
        <v>45720</v>
      </c>
      <c r="F1587" s="5"/>
    </row>
    <row r="1588" spans="1:6" x14ac:dyDescent="0.3">
      <c r="A1588" t="s">
        <v>156</v>
      </c>
      <c r="B1588" t="s">
        <v>128</v>
      </c>
      <c r="C1588">
        <v>2023</v>
      </c>
      <c r="D1588" s="4">
        <v>8659.94</v>
      </c>
      <c r="E1588" s="26">
        <v>45242</v>
      </c>
      <c r="F1588" s="5"/>
    </row>
    <row r="1589" spans="1:6" x14ac:dyDescent="0.3">
      <c r="A1589" t="s">
        <v>136</v>
      </c>
      <c r="B1589" t="s">
        <v>120</v>
      </c>
      <c r="C1589">
        <v>2025</v>
      </c>
      <c r="D1589" s="4">
        <v>9044.4699999999993</v>
      </c>
      <c r="E1589" s="26">
        <v>45766</v>
      </c>
      <c r="F1589" s="5"/>
    </row>
    <row r="1590" spans="1:6" x14ac:dyDescent="0.3">
      <c r="A1590" t="s">
        <v>145</v>
      </c>
      <c r="B1590" t="s">
        <v>120</v>
      </c>
      <c r="C1590">
        <v>2023</v>
      </c>
      <c r="D1590" s="4">
        <v>7420.17</v>
      </c>
      <c r="E1590" s="26">
        <v>45124</v>
      </c>
      <c r="F1590" s="5"/>
    </row>
    <row r="1591" spans="1:6" x14ac:dyDescent="0.3">
      <c r="A1591" t="s">
        <v>121</v>
      </c>
      <c r="B1591" t="s">
        <v>122</v>
      </c>
      <c r="C1591">
        <v>2023</v>
      </c>
      <c r="D1591" s="4">
        <v>11725.67</v>
      </c>
      <c r="E1591" s="26">
        <v>45016</v>
      </c>
      <c r="F1591" s="5"/>
    </row>
    <row r="1592" spans="1:6" x14ac:dyDescent="0.3">
      <c r="A1592" t="s">
        <v>137</v>
      </c>
      <c r="B1592" t="s">
        <v>128</v>
      </c>
      <c r="C1592">
        <v>2024</v>
      </c>
      <c r="D1592" s="4">
        <v>12254.2</v>
      </c>
      <c r="E1592" s="26">
        <v>45292</v>
      </c>
      <c r="F1592" s="5"/>
    </row>
    <row r="1593" spans="1:6" x14ac:dyDescent="0.3">
      <c r="A1593" t="s">
        <v>118</v>
      </c>
      <c r="B1593" t="s">
        <v>116</v>
      </c>
      <c r="C1593">
        <v>2023</v>
      </c>
      <c r="D1593" s="4">
        <v>6898.11</v>
      </c>
      <c r="E1593" s="26">
        <v>45146</v>
      </c>
      <c r="F1593" s="5"/>
    </row>
    <row r="1594" spans="1:6" x14ac:dyDescent="0.3">
      <c r="A1594" t="s">
        <v>142</v>
      </c>
      <c r="B1594" t="s">
        <v>120</v>
      </c>
      <c r="C1594">
        <v>2023</v>
      </c>
      <c r="D1594" s="4">
        <v>8079.97</v>
      </c>
      <c r="E1594" s="26">
        <v>44992</v>
      </c>
      <c r="F1594" s="5"/>
    </row>
    <row r="1595" spans="1:6" x14ac:dyDescent="0.3">
      <c r="A1595" t="s">
        <v>127</v>
      </c>
      <c r="B1595" t="s">
        <v>128</v>
      </c>
      <c r="C1595">
        <v>2025</v>
      </c>
      <c r="D1595" s="4">
        <v>7456.33</v>
      </c>
      <c r="E1595" s="26">
        <v>45930</v>
      </c>
      <c r="F1595" s="5"/>
    </row>
    <row r="1596" spans="1:6" x14ac:dyDescent="0.3">
      <c r="A1596" t="s">
        <v>131</v>
      </c>
      <c r="B1596" t="s">
        <v>122</v>
      </c>
      <c r="C1596">
        <v>2024</v>
      </c>
      <c r="D1596" s="4">
        <v>877.38</v>
      </c>
      <c r="E1596" s="26">
        <v>45451</v>
      </c>
      <c r="F1596" s="5"/>
    </row>
    <row r="1597" spans="1:6" x14ac:dyDescent="0.3">
      <c r="A1597" t="s">
        <v>147</v>
      </c>
      <c r="B1597" t="s">
        <v>120</v>
      </c>
      <c r="C1597">
        <v>2023</v>
      </c>
      <c r="D1597" s="4">
        <v>380.59</v>
      </c>
      <c r="E1597" s="26">
        <v>45072</v>
      </c>
      <c r="F1597" s="5"/>
    </row>
    <row r="1598" spans="1:6" x14ac:dyDescent="0.3">
      <c r="A1598" t="s">
        <v>138</v>
      </c>
      <c r="B1598" t="s">
        <v>122</v>
      </c>
      <c r="C1598">
        <v>2025</v>
      </c>
      <c r="D1598" s="4">
        <v>13011.97</v>
      </c>
      <c r="E1598" s="26">
        <v>45933</v>
      </c>
      <c r="F1598" s="5"/>
    </row>
    <row r="1599" spans="1:6" x14ac:dyDescent="0.3">
      <c r="A1599" t="s">
        <v>158</v>
      </c>
      <c r="B1599" t="s">
        <v>120</v>
      </c>
      <c r="C1599">
        <v>2025</v>
      </c>
      <c r="D1599" s="4">
        <v>11254.08</v>
      </c>
      <c r="E1599" s="26">
        <v>45885</v>
      </c>
      <c r="F1599" s="5"/>
    </row>
    <row r="1600" spans="1:6" x14ac:dyDescent="0.3">
      <c r="A1600" t="s">
        <v>115</v>
      </c>
      <c r="B1600" t="s">
        <v>116</v>
      </c>
      <c r="C1600">
        <v>2025</v>
      </c>
      <c r="D1600" s="4">
        <v>7900.67</v>
      </c>
      <c r="E1600" s="26">
        <v>45666</v>
      </c>
      <c r="F1600" s="5"/>
    </row>
    <row r="1601" spans="1:6" x14ac:dyDescent="0.3">
      <c r="A1601" t="s">
        <v>148</v>
      </c>
      <c r="B1601" t="s">
        <v>120</v>
      </c>
      <c r="C1601">
        <v>2025</v>
      </c>
      <c r="D1601" s="4">
        <v>11160.64</v>
      </c>
      <c r="E1601" s="26">
        <v>45682</v>
      </c>
      <c r="F1601" s="5"/>
    </row>
    <row r="1602" spans="1:6" x14ac:dyDescent="0.3">
      <c r="A1602" t="s">
        <v>115</v>
      </c>
      <c r="B1602" t="s">
        <v>116</v>
      </c>
      <c r="C1602">
        <v>2024</v>
      </c>
      <c r="D1602" s="4">
        <v>7500.49</v>
      </c>
      <c r="E1602" s="26">
        <v>45471</v>
      </c>
      <c r="F1602" s="5"/>
    </row>
    <row r="1603" spans="1:6" x14ac:dyDescent="0.3">
      <c r="A1603" t="s">
        <v>121</v>
      </c>
      <c r="B1603" t="s">
        <v>122</v>
      </c>
      <c r="C1603">
        <v>2024</v>
      </c>
      <c r="D1603" s="4">
        <v>1275.51</v>
      </c>
      <c r="E1603" s="26">
        <v>45549</v>
      </c>
      <c r="F1603" s="5"/>
    </row>
    <row r="1604" spans="1:6" x14ac:dyDescent="0.3">
      <c r="A1604" t="s">
        <v>138</v>
      </c>
      <c r="B1604" t="s">
        <v>122</v>
      </c>
      <c r="C1604">
        <v>2025</v>
      </c>
      <c r="D1604" s="4">
        <v>1540.25</v>
      </c>
      <c r="E1604" s="26">
        <v>45990</v>
      </c>
      <c r="F1604" s="5"/>
    </row>
    <row r="1605" spans="1:6" x14ac:dyDescent="0.3">
      <c r="A1605" t="s">
        <v>147</v>
      </c>
      <c r="B1605" t="s">
        <v>120</v>
      </c>
      <c r="C1605">
        <v>2025</v>
      </c>
      <c r="D1605" s="4">
        <v>5517.57</v>
      </c>
      <c r="E1605" s="26">
        <v>46015</v>
      </c>
      <c r="F1605" s="5"/>
    </row>
    <row r="1606" spans="1:6" x14ac:dyDescent="0.3">
      <c r="A1606" t="s">
        <v>118</v>
      </c>
      <c r="B1606" t="s">
        <v>116</v>
      </c>
      <c r="C1606">
        <v>2025</v>
      </c>
      <c r="D1606" s="4">
        <v>9264.9</v>
      </c>
      <c r="E1606" s="26">
        <v>46004</v>
      </c>
      <c r="F1606" s="5"/>
    </row>
    <row r="1607" spans="1:6" x14ac:dyDescent="0.3">
      <c r="A1607" t="s">
        <v>133</v>
      </c>
      <c r="B1607" t="s">
        <v>128</v>
      </c>
      <c r="C1607">
        <v>2024</v>
      </c>
      <c r="D1607" s="4">
        <v>7906.24</v>
      </c>
      <c r="E1607" s="26">
        <v>45293</v>
      </c>
      <c r="F1607" s="5"/>
    </row>
    <row r="1608" spans="1:6" x14ac:dyDescent="0.3">
      <c r="A1608" t="s">
        <v>123</v>
      </c>
      <c r="B1608" t="s">
        <v>120</v>
      </c>
      <c r="C1608">
        <v>2025</v>
      </c>
      <c r="D1608" s="4">
        <v>10496.3</v>
      </c>
      <c r="E1608" s="26">
        <v>45777</v>
      </c>
      <c r="F1608" s="5"/>
    </row>
    <row r="1609" spans="1:6" x14ac:dyDescent="0.3">
      <c r="A1609" t="s">
        <v>133</v>
      </c>
      <c r="B1609" t="s">
        <v>128</v>
      </c>
      <c r="C1609">
        <v>2025</v>
      </c>
      <c r="D1609" s="4">
        <v>9508</v>
      </c>
      <c r="E1609" s="26">
        <v>45660</v>
      </c>
      <c r="F1609" s="5"/>
    </row>
    <row r="1610" spans="1:6" x14ac:dyDescent="0.3">
      <c r="A1610" t="s">
        <v>144</v>
      </c>
      <c r="B1610" t="s">
        <v>116</v>
      </c>
      <c r="C1610">
        <v>2023</v>
      </c>
      <c r="D1610" s="4">
        <v>2501.9699999999998</v>
      </c>
      <c r="E1610" s="26">
        <v>45140</v>
      </c>
      <c r="F1610" s="5"/>
    </row>
    <row r="1611" spans="1:6" x14ac:dyDescent="0.3">
      <c r="A1611" t="s">
        <v>119</v>
      </c>
      <c r="B1611" t="s">
        <v>120</v>
      </c>
      <c r="C1611">
        <v>2025</v>
      </c>
      <c r="D1611" s="4">
        <v>7164.76</v>
      </c>
      <c r="E1611" s="26">
        <v>45749</v>
      </c>
      <c r="F1611" s="5"/>
    </row>
    <row r="1612" spans="1:6" x14ac:dyDescent="0.3">
      <c r="A1612" t="s">
        <v>152</v>
      </c>
      <c r="B1612" t="s">
        <v>116</v>
      </c>
      <c r="C1612">
        <v>2025</v>
      </c>
      <c r="D1612" s="4">
        <v>13978.38</v>
      </c>
      <c r="E1612" s="26">
        <v>46020</v>
      </c>
      <c r="F1612" s="5"/>
    </row>
    <row r="1613" spans="1:6" x14ac:dyDescent="0.3">
      <c r="A1613" t="s">
        <v>151</v>
      </c>
      <c r="B1613" t="s">
        <v>120</v>
      </c>
      <c r="C1613">
        <v>2024</v>
      </c>
      <c r="D1613" s="4">
        <v>12654.29</v>
      </c>
      <c r="E1613" s="26">
        <v>45648</v>
      </c>
      <c r="F1613" s="5"/>
    </row>
    <row r="1614" spans="1:6" x14ac:dyDescent="0.3">
      <c r="A1614" t="s">
        <v>123</v>
      </c>
      <c r="B1614" t="s">
        <v>120</v>
      </c>
      <c r="C1614">
        <v>2024</v>
      </c>
      <c r="D1614" s="4">
        <v>11858.99</v>
      </c>
      <c r="E1614" s="26">
        <v>45591</v>
      </c>
      <c r="F1614" s="5"/>
    </row>
    <row r="1615" spans="1:6" x14ac:dyDescent="0.3">
      <c r="A1615" t="s">
        <v>148</v>
      </c>
      <c r="B1615" t="s">
        <v>120</v>
      </c>
      <c r="C1615">
        <v>2025</v>
      </c>
      <c r="D1615" s="4">
        <v>11600.94</v>
      </c>
      <c r="E1615" s="26">
        <v>45808</v>
      </c>
      <c r="F1615" s="5"/>
    </row>
    <row r="1616" spans="1:6" x14ac:dyDescent="0.3">
      <c r="A1616" t="s">
        <v>136</v>
      </c>
      <c r="B1616" t="s">
        <v>120</v>
      </c>
      <c r="C1616">
        <v>2024</v>
      </c>
      <c r="D1616" s="4">
        <v>7971.4</v>
      </c>
      <c r="E1616" s="26">
        <v>45419</v>
      </c>
      <c r="F1616" s="5"/>
    </row>
    <row r="1617" spans="1:6" x14ac:dyDescent="0.3">
      <c r="A1617" t="s">
        <v>138</v>
      </c>
      <c r="B1617" t="s">
        <v>122</v>
      </c>
      <c r="C1617">
        <v>2025</v>
      </c>
      <c r="D1617" s="4">
        <v>10766.77</v>
      </c>
      <c r="E1617" s="26">
        <v>45695</v>
      </c>
      <c r="F1617" s="5"/>
    </row>
    <row r="1618" spans="1:6" x14ac:dyDescent="0.3">
      <c r="A1618" t="s">
        <v>135</v>
      </c>
      <c r="B1618" t="s">
        <v>116</v>
      </c>
      <c r="C1618">
        <v>2025</v>
      </c>
      <c r="D1618" s="4">
        <v>13470.79</v>
      </c>
      <c r="E1618" s="26">
        <v>45664</v>
      </c>
      <c r="F1618" s="5"/>
    </row>
    <row r="1619" spans="1:6" x14ac:dyDescent="0.3">
      <c r="A1619" t="s">
        <v>151</v>
      </c>
      <c r="B1619" t="s">
        <v>120</v>
      </c>
      <c r="C1619">
        <v>2025</v>
      </c>
      <c r="D1619" s="4">
        <v>202.7</v>
      </c>
      <c r="E1619" s="26">
        <v>45740</v>
      </c>
      <c r="F1619" s="5"/>
    </row>
    <row r="1620" spans="1:6" x14ac:dyDescent="0.3">
      <c r="A1620" t="s">
        <v>134</v>
      </c>
      <c r="B1620" t="s">
        <v>120</v>
      </c>
      <c r="C1620">
        <v>2024</v>
      </c>
      <c r="D1620" s="4">
        <v>8421.5300000000007</v>
      </c>
      <c r="E1620" s="26">
        <v>45509</v>
      </c>
      <c r="F1620" s="5"/>
    </row>
    <row r="1621" spans="1:6" x14ac:dyDescent="0.3">
      <c r="A1621" t="s">
        <v>141</v>
      </c>
      <c r="B1621" t="s">
        <v>116</v>
      </c>
      <c r="C1621">
        <v>2023</v>
      </c>
      <c r="D1621" s="4">
        <v>13909.09</v>
      </c>
      <c r="E1621" s="26">
        <v>45203</v>
      </c>
      <c r="F1621" s="5"/>
    </row>
    <row r="1622" spans="1:6" x14ac:dyDescent="0.3">
      <c r="A1622" t="s">
        <v>149</v>
      </c>
      <c r="B1622" t="s">
        <v>122</v>
      </c>
      <c r="C1622">
        <v>2023</v>
      </c>
      <c r="D1622" s="4">
        <v>4344.6099999999997</v>
      </c>
      <c r="E1622" s="26">
        <v>44940</v>
      </c>
      <c r="F1622" s="5"/>
    </row>
    <row r="1623" spans="1:6" x14ac:dyDescent="0.3">
      <c r="A1623" t="s">
        <v>147</v>
      </c>
      <c r="B1623" t="s">
        <v>120</v>
      </c>
      <c r="C1623">
        <v>2024</v>
      </c>
      <c r="D1623" s="4">
        <v>12008.94</v>
      </c>
      <c r="E1623" s="26">
        <v>45366</v>
      </c>
      <c r="F1623" s="5"/>
    </row>
    <row r="1624" spans="1:6" x14ac:dyDescent="0.3">
      <c r="A1624" t="s">
        <v>159</v>
      </c>
      <c r="B1624" t="s">
        <v>116</v>
      </c>
      <c r="C1624">
        <v>2024</v>
      </c>
      <c r="D1624" s="4">
        <v>12883.75</v>
      </c>
      <c r="E1624" s="26">
        <v>45492</v>
      </c>
      <c r="F1624" s="5"/>
    </row>
    <row r="1625" spans="1:6" x14ac:dyDescent="0.3">
      <c r="A1625" t="s">
        <v>132</v>
      </c>
      <c r="B1625" t="s">
        <v>128</v>
      </c>
      <c r="C1625">
        <v>2023</v>
      </c>
      <c r="D1625" s="4">
        <v>1501.16</v>
      </c>
      <c r="E1625" s="26">
        <v>45243</v>
      </c>
      <c r="F1625" s="5"/>
    </row>
    <row r="1626" spans="1:6" x14ac:dyDescent="0.3">
      <c r="A1626" t="s">
        <v>129</v>
      </c>
      <c r="B1626" t="s">
        <v>120</v>
      </c>
      <c r="C1626">
        <v>2024</v>
      </c>
      <c r="D1626" s="4">
        <v>2354.2800000000002</v>
      </c>
      <c r="E1626" s="26">
        <v>45655</v>
      </c>
      <c r="F1626" s="5"/>
    </row>
    <row r="1627" spans="1:6" x14ac:dyDescent="0.3">
      <c r="A1627" t="s">
        <v>135</v>
      </c>
      <c r="B1627" t="s">
        <v>116</v>
      </c>
      <c r="C1627">
        <v>2025</v>
      </c>
      <c r="D1627" s="4">
        <v>12476.83</v>
      </c>
      <c r="E1627" s="26">
        <v>45678</v>
      </c>
      <c r="F1627" s="5"/>
    </row>
    <row r="1628" spans="1:6" x14ac:dyDescent="0.3">
      <c r="A1628" t="s">
        <v>125</v>
      </c>
      <c r="B1628" t="s">
        <v>122</v>
      </c>
      <c r="C1628">
        <v>2024</v>
      </c>
      <c r="D1628" s="4">
        <v>3736.16</v>
      </c>
      <c r="E1628" s="26">
        <v>45404</v>
      </c>
      <c r="F1628" s="5"/>
    </row>
    <row r="1629" spans="1:6" x14ac:dyDescent="0.3">
      <c r="A1629" t="s">
        <v>149</v>
      </c>
      <c r="B1629" t="s">
        <v>122</v>
      </c>
      <c r="C1629">
        <v>2023</v>
      </c>
      <c r="D1629" s="4">
        <v>8072.72</v>
      </c>
      <c r="E1629" s="26">
        <v>45115</v>
      </c>
      <c r="F1629" s="5"/>
    </row>
    <row r="1630" spans="1:6" x14ac:dyDescent="0.3">
      <c r="A1630" t="s">
        <v>133</v>
      </c>
      <c r="B1630" t="s">
        <v>128</v>
      </c>
      <c r="C1630">
        <v>2024</v>
      </c>
      <c r="D1630" s="4">
        <v>10332.870000000001</v>
      </c>
      <c r="E1630" s="26">
        <v>45372</v>
      </c>
      <c r="F1630" s="5"/>
    </row>
    <row r="1631" spans="1:6" x14ac:dyDescent="0.3">
      <c r="A1631" t="s">
        <v>136</v>
      </c>
      <c r="B1631" t="s">
        <v>120</v>
      </c>
      <c r="C1631">
        <v>2025</v>
      </c>
      <c r="D1631" s="4">
        <v>2586.0500000000002</v>
      </c>
      <c r="E1631" s="26">
        <v>45915</v>
      </c>
      <c r="F1631" s="5"/>
    </row>
    <row r="1632" spans="1:6" x14ac:dyDescent="0.3">
      <c r="A1632" t="s">
        <v>133</v>
      </c>
      <c r="B1632" t="s">
        <v>128</v>
      </c>
      <c r="C1632">
        <v>2023</v>
      </c>
      <c r="D1632" s="4">
        <v>8414.19</v>
      </c>
      <c r="E1632" s="26">
        <v>45122</v>
      </c>
      <c r="F1632" s="5"/>
    </row>
    <row r="1633" spans="1:6" x14ac:dyDescent="0.3">
      <c r="A1633" t="s">
        <v>149</v>
      </c>
      <c r="B1633" t="s">
        <v>122</v>
      </c>
      <c r="C1633">
        <v>2023</v>
      </c>
      <c r="D1633" s="4">
        <v>10284.89</v>
      </c>
      <c r="E1633" s="26">
        <v>45003</v>
      </c>
      <c r="F1633" s="5"/>
    </row>
    <row r="1634" spans="1:6" x14ac:dyDescent="0.3">
      <c r="A1634" t="s">
        <v>133</v>
      </c>
      <c r="B1634" t="s">
        <v>128</v>
      </c>
      <c r="C1634">
        <v>2025</v>
      </c>
      <c r="D1634" s="4">
        <v>1282.99</v>
      </c>
      <c r="E1634" s="26">
        <v>45708</v>
      </c>
      <c r="F1634" s="5"/>
    </row>
    <row r="1635" spans="1:6" x14ac:dyDescent="0.3">
      <c r="A1635" t="s">
        <v>115</v>
      </c>
      <c r="B1635" t="s">
        <v>116</v>
      </c>
      <c r="C1635">
        <v>2024</v>
      </c>
      <c r="D1635" s="4">
        <v>5001.4399999999996</v>
      </c>
      <c r="E1635" s="26">
        <v>45611</v>
      </c>
      <c r="F1635" s="5"/>
    </row>
    <row r="1636" spans="1:6" x14ac:dyDescent="0.3">
      <c r="A1636" t="s">
        <v>144</v>
      </c>
      <c r="B1636" t="s">
        <v>116</v>
      </c>
      <c r="C1636">
        <v>2025</v>
      </c>
      <c r="D1636" s="4">
        <v>13037.4</v>
      </c>
      <c r="E1636" s="26">
        <v>45780</v>
      </c>
      <c r="F1636" s="5"/>
    </row>
    <row r="1637" spans="1:6" x14ac:dyDescent="0.3">
      <c r="A1637" t="s">
        <v>145</v>
      </c>
      <c r="B1637" t="s">
        <v>120</v>
      </c>
      <c r="C1637">
        <v>2024</v>
      </c>
      <c r="D1637" s="4">
        <v>10517.97</v>
      </c>
      <c r="E1637" s="26">
        <v>45391</v>
      </c>
      <c r="F1637" s="5"/>
    </row>
    <row r="1638" spans="1:6" x14ac:dyDescent="0.3">
      <c r="A1638" t="s">
        <v>143</v>
      </c>
      <c r="B1638" t="s">
        <v>122</v>
      </c>
      <c r="C1638">
        <v>2023</v>
      </c>
      <c r="D1638" s="4">
        <v>8947.64</v>
      </c>
      <c r="E1638" s="26">
        <v>44950</v>
      </c>
      <c r="F1638" s="5"/>
    </row>
    <row r="1639" spans="1:6" x14ac:dyDescent="0.3">
      <c r="A1639" t="s">
        <v>127</v>
      </c>
      <c r="B1639" t="s">
        <v>128</v>
      </c>
      <c r="C1639">
        <v>2023</v>
      </c>
      <c r="D1639" s="4">
        <v>4406.01</v>
      </c>
      <c r="E1639" s="26">
        <v>45037</v>
      </c>
      <c r="F1639" s="5"/>
    </row>
    <row r="1640" spans="1:6" x14ac:dyDescent="0.3">
      <c r="A1640" t="s">
        <v>134</v>
      </c>
      <c r="B1640" t="s">
        <v>120</v>
      </c>
      <c r="C1640">
        <v>2024</v>
      </c>
      <c r="D1640" s="4">
        <v>7651.03</v>
      </c>
      <c r="E1640" s="26">
        <v>45580</v>
      </c>
      <c r="F1640" s="5"/>
    </row>
    <row r="1641" spans="1:6" x14ac:dyDescent="0.3">
      <c r="A1641" t="s">
        <v>146</v>
      </c>
      <c r="B1641" t="s">
        <v>128</v>
      </c>
      <c r="C1641">
        <v>2024</v>
      </c>
      <c r="D1641" s="4">
        <v>7133.14</v>
      </c>
      <c r="E1641" s="26">
        <v>45596</v>
      </c>
      <c r="F1641" s="5"/>
    </row>
    <row r="1642" spans="1:6" x14ac:dyDescent="0.3">
      <c r="A1642" t="s">
        <v>147</v>
      </c>
      <c r="B1642" t="s">
        <v>120</v>
      </c>
      <c r="C1642">
        <v>2023</v>
      </c>
      <c r="D1642" s="4">
        <v>897.17</v>
      </c>
      <c r="E1642" s="26">
        <v>45240</v>
      </c>
      <c r="F1642" s="5"/>
    </row>
    <row r="1643" spans="1:6" x14ac:dyDescent="0.3">
      <c r="A1643" t="s">
        <v>155</v>
      </c>
      <c r="B1643" t="s">
        <v>128</v>
      </c>
      <c r="C1643">
        <v>2025</v>
      </c>
      <c r="D1643" s="4">
        <v>10589.19</v>
      </c>
      <c r="E1643" s="26">
        <v>45839</v>
      </c>
      <c r="F1643" s="5"/>
    </row>
    <row r="1644" spans="1:6" x14ac:dyDescent="0.3">
      <c r="A1644" t="s">
        <v>133</v>
      </c>
      <c r="B1644" t="s">
        <v>128</v>
      </c>
      <c r="C1644">
        <v>2025</v>
      </c>
      <c r="D1644" s="4">
        <v>1443.14</v>
      </c>
      <c r="E1644" s="26">
        <v>45960</v>
      </c>
      <c r="F1644" s="5"/>
    </row>
    <row r="1645" spans="1:6" x14ac:dyDescent="0.3">
      <c r="A1645" t="s">
        <v>144</v>
      </c>
      <c r="B1645" t="s">
        <v>116</v>
      </c>
      <c r="C1645">
        <v>2024</v>
      </c>
      <c r="D1645" s="4">
        <v>11051.88</v>
      </c>
      <c r="E1645" s="26">
        <v>45520</v>
      </c>
      <c r="F1645" s="5"/>
    </row>
    <row r="1646" spans="1:6" x14ac:dyDescent="0.3">
      <c r="A1646" t="s">
        <v>146</v>
      </c>
      <c r="B1646" t="s">
        <v>128</v>
      </c>
      <c r="C1646">
        <v>2023</v>
      </c>
      <c r="D1646" s="4">
        <v>4839.12</v>
      </c>
      <c r="E1646" s="26">
        <v>45197</v>
      </c>
      <c r="F1646" s="5"/>
    </row>
    <row r="1647" spans="1:6" x14ac:dyDescent="0.3">
      <c r="A1647" t="s">
        <v>126</v>
      </c>
      <c r="B1647" t="s">
        <v>116</v>
      </c>
      <c r="C1647">
        <v>2023</v>
      </c>
      <c r="D1647" s="4">
        <v>7764.5</v>
      </c>
      <c r="E1647" s="26">
        <v>45027</v>
      </c>
      <c r="F1647" s="5"/>
    </row>
    <row r="1648" spans="1:6" x14ac:dyDescent="0.3">
      <c r="A1648" t="s">
        <v>135</v>
      </c>
      <c r="B1648" t="s">
        <v>116</v>
      </c>
      <c r="C1648">
        <v>2023</v>
      </c>
      <c r="D1648" s="4">
        <v>5699.67</v>
      </c>
      <c r="E1648" s="26">
        <v>45101</v>
      </c>
      <c r="F1648" s="5"/>
    </row>
    <row r="1649" spans="1:6" x14ac:dyDescent="0.3">
      <c r="A1649" t="s">
        <v>144</v>
      </c>
      <c r="B1649" t="s">
        <v>116</v>
      </c>
      <c r="C1649">
        <v>2023</v>
      </c>
      <c r="D1649" s="4">
        <v>10716.05</v>
      </c>
      <c r="E1649" s="26">
        <v>45194</v>
      </c>
      <c r="F1649" s="5"/>
    </row>
    <row r="1650" spans="1:6" x14ac:dyDescent="0.3">
      <c r="A1650" t="s">
        <v>126</v>
      </c>
      <c r="B1650" t="s">
        <v>116</v>
      </c>
      <c r="C1650">
        <v>2024</v>
      </c>
      <c r="D1650" s="4">
        <v>6932.48</v>
      </c>
      <c r="E1650" s="26">
        <v>45332</v>
      </c>
      <c r="F1650" s="5"/>
    </row>
    <row r="1651" spans="1:6" x14ac:dyDescent="0.3">
      <c r="A1651" t="s">
        <v>133</v>
      </c>
      <c r="B1651" t="s">
        <v>128</v>
      </c>
      <c r="C1651">
        <v>2024</v>
      </c>
      <c r="D1651" s="4">
        <v>7944.11</v>
      </c>
      <c r="E1651" s="26">
        <v>45328</v>
      </c>
      <c r="F1651" s="5"/>
    </row>
    <row r="1652" spans="1:6" x14ac:dyDescent="0.3">
      <c r="A1652" t="s">
        <v>141</v>
      </c>
      <c r="B1652" t="s">
        <v>116</v>
      </c>
      <c r="C1652">
        <v>2024</v>
      </c>
      <c r="D1652" s="4">
        <v>3543.95</v>
      </c>
      <c r="E1652" s="26">
        <v>45431</v>
      </c>
      <c r="F1652" s="5"/>
    </row>
    <row r="1653" spans="1:6" x14ac:dyDescent="0.3">
      <c r="A1653" t="s">
        <v>154</v>
      </c>
      <c r="B1653" t="s">
        <v>128</v>
      </c>
      <c r="C1653">
        <v>2025</v>
      </c>
      <c r="D1653" s="4">
        <v>4663.08</v>
      </c>
      <c r="E1653" s="26">
        <v>45807</v>
      </c>
      <c r="F1653" s="5"/>
    </row>
    <row r="1654" spans="1:6" x14ac:dyDescent="0.3">
      <c r="A1654" t="s">
        <v>133</v>
      </c>
      <c r="B1654" t="s">
        <v>128</v>
      </c>
      <c r="C1654">
        <v>2023</v>
      </c>
      <c r="D1654" s="4">
        <v>1752.91</v>
      </c>
      <c r="E1654" s="26">
        <v>45110</v>
      </c>
      <c r="F1654" s="5"/>
    </row>
    <row r="1655" spans="1:6" x14ac:dyDescent="0.3">
      <c r="A1655" t="s">
        <v>148</v>
      </c>
      <c r="B1655" t="s">
        <v>120</v>
      </c>
      <c r="C1655">
        <v>2025</v>
      </c>
      <c r="D1655" s="4">
        <v>5240.6899999999996</v>
      </c>
      <c r="E1655" s="26">
        <v>45794</v>
      </c>
      <c r="F1655" s="5"/>
    </row>
    <row r="1656" spans="1:6" x14ac:dyDescent="0.3">
      <c r="A1656" t="s">
        <v>118</v>
      </c>
      <c r="B1656" t="s">
        <v>116</v>
      </c>
      <c r="C1656">
        <v>2024</v>
      </c>
      <c r="D1656" s="4">
        <v>4954.4399999999996</v>
      </c>
      <c r="E1656" s="26">
        <v>45583</v>
      </c>
      <c r="F1656" s="5"/>
    </row>
    <row r="1657" spans="1:6" x14ac:dyDescent="0.3">
      <c r="A1657" t="s">
        <v>159</v>
      </c>
      <c r="B1657" t="s">
        <v>116</v>
      </c>
      <c r="C1657">
        <v>2024</v>
      </c>
      <c r="D1657" s="4">
        <v>2535.7199999999998</v>
      </c>
      <c r="E1657" s="26">
        <v>45551</v>
      </c>
      <c r="F1657" s="5"/>
    </row>
    <row r="1658" spans="1:6" x14ac:dyDescent="0.3">
      <c r="A1658" t="s">
        <v>139</v>
      </c>
      <c r="B1658" t="s">
        <v>120</v>
      </c>
      <c r="C1658">
        <v>2025</v>
      </c>
      <c r="D1658" s="4">
        <v>8799.91</v>
      </c>
      <c r="E1658" s="26">
        <v>45832</v>
      </c>
      <c r="F1658" s="5"/>
    </row>
    <row r="1659" spans="1:6" x14ac:dyDescent="0.3">
      <c r="A1659" t="s">
        <v>151</v>
      </c>
      <c r="B1659" t="s">
        <v>120</v>
      </c>
      <c r="C1659">
        <v>2023</v>
      </c>
      <c r="D1659" s="4">
        <v>12954.14</v>
      </c>
      <c r="E1659" s="26">
        <v>45018</v>
      </c>
      <c r="F1659" s="5"/>
    </row>
    <row r="1660" spans="1:6" x14ac:dyDescent="0.3">
      <c r="A1660" t="s">
        <v>147</v>
      </c>
      <c r="B1660" t="s">
        <v>120</v>
      </c>
      <c r="C1660">
        <v>2024</v>
      </c>
      <c r="D1660" s="4">
        <v>9657.9599999999991</v>
      </c>
      <c r="E1660" s="26">
        <v>45335</v>
      </c>
      <c r="F1660" s="5"/>
    </row>
    <row r="1661" spans="1:6" x14ac:dyDescent="0.3">
      <c r="A1661" t="s">
        <v>146</v>
      </c>
      <c r="B1661" t="s">
        <v>128</v>
      </c>
      <c r="C1661">
        <v>2023</v>
      </c>
      <c r="D1661" s="4">
        <v>1750.73</v>
      </c>
      <c r="E1661" s="26">
        <v>45102</v>
      </c>
      <c r="F1661" s="5"/>
    </row>
    <row r="1662" spans="1:6" x14ac:dyDescent="0.3">
      <c r="A1662" t="s">
        <v>115</v>
      </c>
      <c r="B1662" t="s">
        <v>116</v>
      </c>
      <c r="C1662">
        <v>2024</v>
      </c>
      <c r="D1662" s="4">
        <v>13295.38</v>
      </c>
      <c r="E1662" s="26">
        <v>45424</v>
      </c>
      <c r="F1662" s="5"/>
    </row>
    <row r="1663" spans="1:6" x14ac:dyDescent="0.3">
      <c r="A1663" t="s">
        <v>146</v>
      </c>
      <c r="B1663" t="s">
        <v>128</v>
      </c>
      <c r="C1663">
        <v>2024</v>
      </c>
      <c r="D1663" s="4">
        <v>389.52</v>
      </c>
      <c r="E1663" s="26">
        <v>45516</v>
      </c>
      <c r="F1663" s="5"/>
    </row>
    <row r="1664" spans="1:6" x14ac:dyDescent="0.3">
      <c r="A1664" t="s">
        <v>145</v>
      </c>
      <c r="B1664" t="s">
        <v>120</v>
      </c>
      <c r="C1664">
        <v>2024</v>
      </c>
      <c r="D1664" s="4">
        <v>6410.85</v>
      </c>
      <c r="E1664" s="26">
        <v>45551</v>
      </c>
      <c r="F1664" s="5"/>
    </row>
    <row r="1665" spans="1:6" x14ac:dyDescent="0.3">
      <c r="A1665" t="s">
        <v>159</v>
      </c>
      <c r="B1665" t="s">
        <v>116</v>
      </c>
      <c r="C1665">
        <v>2024</v>
      </c>
      <c r="D1665" s="4">
        <v>3084.33</v>
      </c>
      <c r="E1665" s="26">
        <v>45606</v>
      </c>
      <c r="F1665" s="5"/>
    </row>
    <row r="1666" spans="1:6" x14ac:dyDescent="0.3">
      <c r="A1666" t="s">
        <v>124</v>
      </c>
      <c r="B1666" t="s">
        <v>120</v>
      </c>
      <c r="C1666">
        <v>2024</v>
      </c>
      <c r="D1666" s="4">
        <v>3012.46</v>
      </c>
      <c r="E1666" s="26">
        <v>45360</v>
      </c>
      <c r="F1666" s="5"/>
    </row>
    <row r="1667" spans="1:6" x14ac:dyDescent="0.3">
      <c r="A1667" t="s">
        <v>141</v>
      </c>
      <c r="B1667" t="s">
        <v>116</v>
      </c>
      <c r="C1667">
        <v>2024</v>
      </c>
      <c r="D1667" s="4">
        <v>7773.44</v>
      </c>
      <c r="E1667" s="26">
        <v>45456</v>
      </c>
      <c r="F1667" s="5"/>
    </row>
    <row r="1668" spans="1:6" x14ac:dyDescent="0.3">
      <c r="A1668" t="s">
        <v>153</v>
      </c>
      <c r="B1668" t="s">
        <v>122</v>
      </c>
      <c r="C1668">
        <v>2023</v>
      </c>
      <c r="D1668" s="4">
        <v>9791.98</v>
      </c>
      <c r="E1668" s="26">
        <v>45216</v>
      </c>
      <c r="F1668" s="5"/>
    </row>
    <row r="1669" spans="1:6" x14ac:dyDescent="0.3">
      <c r="A1669" t="s">
        <v>159</v>
      </c>
      <c r="B1669" t="s">
        <v>116</v>
      </c>
      <c r="C1669">
        <v>2025</v>
      </c>
      <c r="D1669" s="4">
        <v>8245.4699999999993</v>
      </c>
      <c r="E1669" s="26">
        <v>45698</v>
      </c>
      <c r="F1669" s="5"/>
    </row>
    <row r="1670" spans="1:6" x14ac:dyDescent="0.3">
      <c r="A1670" t="s">
        <v>141</v>
      </c>
      <c r="B1670" t="s">
        <v>116</v>
      </c>
      <c r="C1670">
        <v>2023</v>
      </c>
      <c r="D1670" s="4">
        <v>3725.3</v>
      </c>
      <c r="E1670" s="26">
        <v>45016</v>
      </c>
      <c r="F1670" s="5"/>
    </row>
    <row r="1671" spans="1:6" x14ac:dyDescent="0.3">
      <c r="A1671" t="s">
        <v>115</v>
      </c>
      <c r="B1671" t="s">
        <v>116</v>
      </c>
      <c r="C1671">
        <v>2024</v>
      </c>
      <c r="D1671" s="4">
        <v>2969.61</v>
      </c>
      <c r="E1671" s="26">
        <v>45508</v>
      </c>
      <c r="F1671" s="5"/>
    </row>
    <row r="1672" spans="1:6" x14ac:dyDescent="0.3">
      <c r="A1672" t="s">
        <v>153</v>
      </c>
      <c r="B1672" t="s">
        <v>122</v>
      </c>
      <c r="C1672">
        <v>2024</v>
      </c>
      <c r="D1672" s="4">
        <v>932.58</v>
      </c>
      <c r="E1672" s="26">
        <v>45482</v>
      </c>
      <c r="F1672" s="5"/>
    </row>
    <row r="1673" spans="1:6" x14ac:dyDescent="0.3">
      <c r="A1673" t="s">
        <v>150</v>
      </c>
      <c r="B1673" t="s">
        <v>116</v>
      </c>
      <c r="C1673">
        <v>2023</v>
      </c>
      <c r="D1673" s="4">
        <v>5563.3</v>
      </c>
      <c r="E1673" s="26">
        <v>45063</v>
      </c>
      <c r="F1673" s="5"/>
    </row>
    <row r="1674" spans="1:6" x14ac:dyDescent="0.3">
      <c r="A1674" t="s">
        <v>154</v>
      </c>
      <c r="B1674" t="s">
        <v>128</v>
      </c>
      <c r="C1674">
        <v>2025</v>
      </c>
      <c r="D1674" s="4">
        <v>12127.1</v>
      </c>
      <c r="E1674" s="26">
        <v>45664</v>
      </c>
      <c r="F1674" s="5"/>
    </row>
    <row r="1675" spans="1:6" x14ac:dyDescent="0.3">
      <c r="A1675" t="s">
        <v>159</v>
      </c>
      <c r="B1675" t="s">
        <v>116</v>
      </c>
      <c r="C1675">
        <v>2024</v>
      </c>
      <c r="D1675" s="4">
        <v>12170.26</v>
      </c>
      <c r="E1675" s="26">
        <v>45526</v>
      </c>
      <c r="F1675" s="5"/>
    </row>
    <row r="1676" spans="1:6" x14ac:dyDescent="0.3">
      <c r="A1676" t="s">
        <v>127</v>
      </c>
      <c r="B1676" t="s">
        <v>128</v>
      </c>
      <c r="C1676">
        <v>2024</v>
      </c>
      <c r="D1676" s="4">
        <v>13721.14</v>
      </c>
      <c r="E1676" s="26">
        <v>45400</v>
      </c>
      <c r="F1676" s="5"/>
    </row>
    <row r="1677" spans="1:6" x14ac:dyDescent="0.3">
      <c r="A1677" t="s">
        <v>132</v>
      </c>
      <c r="B1677" t="s">
        <v>128</v>
      </c>
      <c r="C1677">
        <v>2023</v>
      </c>
      <c r="D1677" s="4">
        <v>12673.43</v>
      </c>
      <c r="E1677" s="26">
        <v>45130</v>
      </c>
      <c r="F1677" s="5"/>
    </row>
    <row r="1678" spans="1:6" x14ac:dyDescent="0.3">
      <c r="A1678" t="s">
        <v>156</v>
      </c>
      <c r="B1678" t="s">
        <v>128</v>
      </c>
      <c r="C1678">
        <v>2025</v>
      </c>
      <c r="D1678" s="4">
        <v>1414.69</v>
      </c>
      <c r="E1678" s="26">
        <v>46015</v>
      </c>
      <c r="F1678" s="5"/>
    </row>
    <row r="1679" spans="1:6" x14ac:dyDescent="0.3">
      <c r="A1679" t="s">
        <v>118</v>
      </c>
      <c r="B1679" t="s">
        <v>116</v>
      </c>
      <c r="C1679">
        <v>2025</v>
      </c>
      <c r="D1679" s="4">
        <v>13541.72</v>
      </c>
      <c r="E1679" s="26">
        <v>45952</v>
      </c>
      <c r="F1679" s="5"/>
    </row>
    <row r="1680" spans="1:6" x14ac:dyDescent="0.3">
      <c r="A1680" t="s">
        <v>123</v>
      </c>
      <c r="B1680" t="s">
        <v>120</v>
      </c>
      <c r="C1680">
        <v>2023</v>
      </c>
      <c r="D1680" s="4">
        <v>748.58</v>
      </c>
      <c r="E1680" s="26">
        <v>44971</v>
      </c>
      <c r="F1680" s="5"/>
    </row>
    <row r="1681" spans="1:6" x14ac:dyDescent="0.3">
      <c r="A1681" t="s">
        <v>141</v>
      </c>
      <c r="B1681" t="s">
        <v>116</v>
      </c>
      <c r="C1681">
        <v>2024</v>
      </c>
      <c r="D1681" s="4">
        <v>4803.26</v>
      </c>
      <c r="E1681" s="26">
        <v>45551</v>
      </c>
      <c r="F1681" s="5"/>
    </row>
    <row r="1682" spans="1:6" x14ac:dyDescent="0.3">
      <c r="A1682" t="s">
        <v>155</v>
      </c>
      <c r="B1682" t="s">
        <v>128</v>
      </c>
      <c r="C1682">
        <v>2023</v>
      </c>
      <c r="D1682" s="4">
        <v>453.54</v>
      </c>
      <c r="E1682" s="26">
        <v>45248</v>
      </c>
      <c r="F1682" s="5"/>
    </row>
    <row r="1683" spans="1:6" x14ac:dyDescent="0.3">
      <c r="A1683" t="s">
        <v>139</v>
      </c>
      <c r="B1683" t="s">
        <v>120</v>
      </c>
      <c r="C1683">
        <v>2024</v>
      </c>
      <c r="D1683" s="4">
        <v>8828.19</v>
      </c>
      <c r="E1683" s="26">
        <v>45654</v>
      </c>
      <c r="F1683" s="5"/>
    </row>
    <row r="1684" spans="1:6" x14ac:dyDescent="0.3">
      <c r="A1684" t="s">
        <v>125</v>
      </c>
      <c r="B1684" t="s">
        <v>122</v>
      </c>
      <c r="C1684">
        <v>2025</v>
      </c>
      <c r="D1684" s="4">
        <v>4007.12</v>
      </c>
      <c r="E1684" s="26">
        <v>45953</v>
      </c>
      <c r="F1684" s="5"/>
    </row>
    <row r="1685" spans="1:6" x14ac:dyDescent="0.3">
      <c r="A1685" t="s">
        <v>115</v>
      </c>
      <c r="B1685" t="s">
        <v>116</v>
      </c>
      <c r="C1685">
        <v>2024</v>
      </c>
      <c r="D1685" s="4">
        <v>12325.75</v>
      </c>
      <c r="E1685" s="26">
        <v>45454</v>
      </c>
      <c r="F1685" s="5"/>
    </row>
    <row r="1686" spans="1:6" x14ac:dyDescent="0.3">
      <c r="A1686" t="s">
        <v>159</v>
      </c>
      <c r="B1686" t="s">
        <v>116</v>
      </c>
      <c r="C1686">
        <v>2024</v>
      </c>
      <c r="D1686" s="4">
        <v>3313.04</v>
      </c>
      <c r="E1686" s="26">
        <v>45500</v>
      </c>
      <c r="F1686" s="5"/>
    </row>
    <row r="1687" spans="1:6" x14ac:dyDescent="0.3">
      <c r="A1687" t="s">
        <v>117</v>
      </c>
      <c r="B1687" t="s">
        <v>116</v>
      </c>
      <c r="C1687">
        <v>2025</v>
      </c>
      <c r="D1687" s="4">
        <v>9265.66</v>
      </c>
      <c r="E1687" s="26">
        <v>45731</v>
      </c>
      <c r="F1687" s="5"/>
    </row>
    <row r="1688" spans="1:6" x14ac:dyDescent="0.3">
      <c r="A1688" t="s">
        <v>158</v>
      </c>
      <c r="B1688" t="s">
        <v>120</v>
      </c>
      <c r="C1688">
        <v>2025</v>
      </c>
      <c r="D1688" s="4">
        <v>7385.91</v>
      </c>
      <c r="E1688" s="26">
        <v>45709</v>
      </c>
      <c r="F1688" s="5"/>
    </row>
    <row r="1689" spans="1:6" x14ac:dyDescent="0.3">
      <c r="A1689" t="s">
        <v>153</v>
      </c>
      <c r="B1689" t="s">
        <v>122</v>
      </c>
      <c r="C1689">
        <v>2024</v>
      </c>
      <c r="D1689" s="4">
        <v>5959.2</v>
      </c>
      <c r="E1689" s="26">
        <v>45392</v>
      </c>
      <c r="F1689" s="5"/>
    </row>
    <row r="1690" spans="1:6" x14ac:dyDescent="0.3">
      <c r="A1690" t="s">
        <v>133</v>
      </c>
      <c r="B1690" t="s">
        <v>128</v>
      </c>
      <c r="C1690">
        <v>2023</v>
      </c>
      <c r="D1690" s="4">
        <v>6085.22</v>
      </c>
      <c r="E1690" s="26">
        <v>45239</v>
      </c>
      <c r="F1690" s="5"/>
    </row>
    <row r="1691" spans="1:6" x14ac:dyDescent="0.3">
      <c r="A1691" t="s">
        <v>149</v>
      </c>
      <c r="B1691" t="s">
        <v>122</v>
      </c>
      <c r="C1691">
        <v>2024</v>
      </c>
      <c r="D1691" s="4">
        <v>6398.53</v>
      </c>
      <c r="E1691" s="26">
        <v>45601</v>
      </c>
      <c r="F1691" s="5"/>
    </row>
    <row r="1692" spans="1:6" x14ac:dyDescent="0.3">
      <c r="A1692" t="s">
        <v>137</v>
      </c>
      <c r="B1692" t="s">
        <v>128</v>
      </c>
      <c r="C1692">
        <v>2024</v>
      </c>
      <c r="D1692" s="4">
        <v>9204.1200000000008</v>
      </c>
      <c r="E1692" s="26">
        <v>45350</v>
      </c>
      <c r="F1692" s="5"/>
    </row>
    <row r="1693" spans="1:6" x14ac:dyDescent="0.3">
      <c r="A1693" t="s">
        <v>131</v>
      </c>
      <c r="B1693" t="s">
        <v>122</v>
      </c>
      <c r="C1693">
        <v>2024</v>
      </c>
      <c r="D1693" s="4">
        <v>12103.71</v>
      </c>
      <c r="E1693" s="26">
        <v>45341</v>
      </c>
      <c r="F1693" s="5"/>
    </row>
    <row r="1694" spans="1:6" x14ac:dyDescent="0.3">
      <c r="A1694" t="s">
        <v>149</v>
      </c>
      <c r="B1694" t="s">
        <v>122</v>
      </c>
      <c r="C1694">
        <v>2025</v>
      </c>
      <c r="D1694" s="4">
        <v>12751.97</v>
      </c>
      <c r="E1694" s="26">
        <v>45999</v>
      </c>
      <c r="F1694" s="5"/>
    </row>
    <row r="1695" spans="1:6" x14ac:dyDescent="0.3">
      <c r="A1695" t="s">
        <v>144</v>
      </c>
      <c r="B1695" t="s">
        <v>116</v>
      </c>
      <c r="C1695">
        <v>2023</v>
      </c>
      <c r="D1695" s="4">
        <v>9256</v>
      </c>
      <c r="E1695" s="26">
        <v>45224</v>
      </c>
      <c r="F1695" s="5"/>
    </row>
    <row r="1696" spans="1:6" x14ac:dyDescent="0.3">
      <c r="A1696" t="s">
        <v>133</v>
      </c>
      <c r="B1696" t="s">
        <v>128</v>
      </c>
      <c r="C1696">
        <v>2023</v>
      </c>
      <c r="D1696" s="4">
        <v>4581.45</v>
      </c>
      <c r="E1696" s="26">
        <v>45250</v>
      </c>
      <c r="F1696" s="5"/>
    </row>
    <row r="1697" spans="1:6" x14ac:dyDescent="0.3">
      <c r="A1697" t="s">
        <v>123</v>
      </c>
      <c r="B1697" t="s">
        <v>120</v>
      </c>
      <c r="C1697">
        <v>2025</v>
      </c>
      <c r="D1697" s="4">
        <v>13290.7</v>
      </c>
      <c r="E1697" s="26">
        <v>46018</v>
      </c>
      <c r="F1697" s="5"/>
    </row>
    <row r="1698" spans="1:6" x14ac:dyDescent="0.3">
      <c r="A1698" t="s">
        <v>145</v>
      </c>
      <c r="B1698" t="s">
        <v>120</v>
      </c>
      <c r="C1698">
        <v>2024</v>
      </c>
      <c r="D1698" s="4">
        <v>4582.8500000000004</v>
      </c>
      <c r="E1698" s="26">
        <v>45304</v>
      </c>
      <c r="F1698" s="5"/>
    </row>
    <row r="1699" spans="1:6" x14ac:dyDescent="0.3">
      <c r="A1699" t="s">
        <v>146</v>
      </c>
      <c r="B1699" t="s">
        <v>128</v>
      </c>
      <c r="C1699">
        <v>2023</v>
      </c>
      <c r="D1699" s="4">
        <v>10763</v>
      </c>
      <c r="E1699" s="26">
        <v>44987</v>
      </c>
      <c r="F1699" s="5"/>
    </row>
    <row r="1700" spans="1:6" x14ac:dyDescent="0.3">
      <c r="A1700" t="s">
        <v>148</v>
      </c>
      <c r="B1700" t="s">
        <v>120</v>
      </c>
      <c r="C1700">
        <v>2025</v>
      </c>
      <c r="D1700" s="4">
        <v>4386.2</v>
      </c>
      <c r="E1700" s="26">
        <v>45769</v>
      </c>
      <c r="F1700" s="5"/>
    </row>
    <row r="1701" spans="1:6" x14ac:dyDescent="0.3">
      <c r="A1701" t="s">
        <v>154</v>
      </c>
      <c r="B1701" t="s">
        <v>128</v>
      </c>
      <c r="C1701">
        <v>2023</v>
      </c>
      <c r="D1701" s="4">
        <v>10951.69</v>
      </c>
      <c r="E1701" s="26">
        <v>45238</v>
      </c>
      <c r="F1701" s="5"/>
    </row>
    <row r="1702" spans="1:6" x14ac:dyDescent="0.3">
      <c r="A1702" t="s">
        <v>142</v>
      </c>
      <c r="B1702" t="s">
        <v>120</v>
      </c>
      <c r="C1702">
        <v>2023</v>
      </c>
      <c r="D1702" s="4">
        <v>2749.5</v>
      </c>
      <c r="E1702" s="26">
        <v>45196</v>
      </c>
      <c r="F1702" s="5"/>
    </row>
    <row r="1703" spans="1:6" x14ac:dyDescent="0.3">
      <c r="A1703" t="s">
        <v>153</v>
      </c>
      <c r="B1703" t="s">
        <v>122</v>
      </c>
      <c r="C1703">
        <v>2024</v>
      </c>
      <c r="D1703" s="4">
        <v>8557.34</v>
      </c>
      <c r="E1703" s="26">
        <v>45473</v>
      </c>
      <c r="F1703" s="5"/>
    </row>
    <row r="1704" spans="1:6" x14ac:dyDescent="0.3">
      <c r="A1704" t="s">
        <v>153</v>
      </c>
      <c r="B1704" t="s">
        <v>122</v>
      </c>
      <c r="C1704">
        <v>2024</v>
      </c>
      <c r="D1704" s="4">
        <v>8429.7800000000007</v>
      </c>
      <c r="E1704" s="26">
        <v>45399</v>
      </c>
      <c r="F1704" s="5"/>
    </row>
    <row r="1705" spans="1:6" x14ac:dyDescent="0.3">
      <c r="A1705" t="s">
        <v>147</v>
      </c>
      <c r="B1705" t="s">
        <v>120</v>
      </c>
      <c r="C1705">
        <v>2023</v>
      </c>
      <c r="D1705" s="4">
        <v>5157.8100000000004</v>
      </c>
      <c r="E1705" s="26">
        <v>44980</v>
      </c>
      <c r="F1705" s="5"/>
    </row>
    <row r="1706" spans="1:6" x14ac:dyDescent="0.3">
      <c r="A1706" t="s">
        <v>126</v>
      </c>
      <c r="B1706" t="s">
        <v>116</v>
      </c>
      <c r="C1706">
        <v>2023</v>
      </c>
      <c r="D1706" s="4">
        <v>7132.08</v>
      </c>
      <c r="E1706" s="26">
        <v>45201</v>
      </c>
      <c r="F1706" s="5"/>
    </row>
    <row r="1707" spans="1:6" x14ac:dyDescent="0.3">
      <c r="A1707" t="s">
        <v>143</v>
      </c>
      <c r="B1707" t="s">
        <v>122</v>
      </c>
      <c r="C1707">
        <v>2025</v>
      </c>
      <c r="D1707" s="4">
        <v>10025.86</v>
      </c>
      <c r="E1707" s="26">
        <v>45887</v>
      </c>
      <c r="F1707" s="5"/>
    </row>
    <row r="1708" spans="1:6" x14ac:dyDescent="0.3">
      <c r="A1708" t="s">
        <v>140</v>
      </c>
      <c r="B1708" t="s">
        <v>128</v>
      </c>
      <c r="C1708">
        <v>2024</v>
      </c>
      <c r="D1708" s="4">
        <v>11959.39</v>
      </c>
      <c r="E1708" s="26">
        <v>45303</v>
      </c>
      <c r="F1708" s="5"/>
    </row>
    <row r="1709" spans="1:6" x14ac:dyDescent="0.3">
      <c r="A1709" t="s">
        <v>156</v>
      </c>
      <c r="B1709" t="s">
        <v>128</v>
      </c>
      <c r="C1709">
        <v>2025</v>
      </c>
      <c r="D1709" s="4">
        <v>2097.6799999999998</v>
      </c>
      <c r="E1709" s="26">
        <v>45897</v>
      </c>
      <c r="F1709" s="5"/>
    </row>
    <row r="1710" spans="1:6" x14ac:dyDescent="0.3">
      <c r="A1710" t="s">
        <v>118</v>
      </c>
      <c r="B1710" t="s">
        <v>116</v>
      </c>
      <c r="C1710">
        <v>2024</v>
      </c>
      <c r="D1710" s="4">
        <v>644.77</v>
      </c>
      <c r="E1710" s="26">
        <v>45390</v>
      </c>
      <c r="F1710" s="5"/>
    </row>
    <row r="1711" spans="1:6" x14ac:dyDescent="0.3">
      <c r="A1711" t="s">
        <v>150</v>
      </c>
      <c r="B1711" t="s">
        <v>116</v>
      </c>
      <c r="C1711">
        <v>2024</v>
      </c>
      <c r="D1711" s="4">
        <v>13312.73</v>
      </c>
      <c r="E1711" s="26">
        <v>45479</v>
      </c>
      <c r="F1711" s="5"/>
    </row>
    <row r="1712" spans="1:6" x14ac:dyDescent="0.3">
      <c r="A1712" t="s">
        <v>147</v>
      </c>
      <c r="B1712" t="s">
        <v>120</v>
      </c>
      <c r="C1712">
        <v>2024</v>
      </c>
      <c r="D1712" s="4">
        <v>10657.32</v>
      </c>
      <c r="E1712" s="26">
        <v>45342</v>
      </c>
      <c r="F1712" s="5"/>
    </row>
    <row r="1713" spans="1:6" x14ac:dyDescent="0.3">
      <c r="A1713" t="s">
        <v>121</v>
      </c>
      <c r="B1713" t="s">
        <v>122</v>
      </c>
      <c r="C1713">
        <v>2023</v>
      </c>
      <c r="D1713" s="4">
        <v>12994.02</v>
      </c>
      <c r="E1713" s="26">
        <v>45289</v>
      </c>
      <c r="F1713" s="5"/>
    </row>
    <row r="1714" spans="1:6" x14ac:dyDescent="0.3">
      <c r="A1714" t="s">
        <v>151</v>
      </c>
      <c r="B1714" t="s">
        <v>120</v>
      </c>
      <c r="C1714">
        <v>2025</v>
      </c>
      <c r="D1714" s="4">
        <v>9692.51</v>
      </c>
      <c r="E1714" s="26">
        <v>45930</v>
      </c>
      <c r="F1714" s="5"/>
    </row>
    <row r="1715" spans="1:6" x14ac:dyDescent="0.3">
      <c r="A1715" t="s">
        <v>129</v>
      </c>
      <c r="B1715" t="s">
        <v>120</v>
      </c>
      <c r="C1715">
        <v>2024</v>
      </c>
      <c r="D1715" s="4">
        <v>6100.27</v>
      </c>
      <c r="E1715" s="26">
        <v>45432</v>
      </c>
      <c r="F1715" s="5"/>
    </row>
    <row r="1716" spans="1:6" x14ac:dyDescent="0.3">
      <c r="A1716" t="s">
        <v>134</v>
      </c>
      <c r="B1716" t="s">
        <v>120</v>
      </c>
      <c r="C1716">
        <v>2025</v>
      </c>
      <c r="D1716" s="4">
        <v>10138.77</v>
      </c>
      <c r="E1716" s="26">
        <v>45706</v>
      </c>
      <c r="F1716" s="5"/>
    </row>
    <row r="1717" spans="1:6" x14ac:dyDescent="0.3">
      <c r="A1717" t="s">
        <v>155</v>
      </c>
      <c r="B1717" t="s">
        <v>128</v>
      </c>
      <c r="C1717">
        <v>2025</v>
      </c>
      <c r="D1717" s="4">
        <v>9051.23</v>
      </c>
      <c r="E1717" s="26">
        <v>46002</v>
      </c>
      <c r="F1717" s="5"/>
    </row>
    <row r="1718" spans="1:6" x14ac:dyDescent="0.3">
      <c r="A1718" t="s">
        <v>134</v>
      </c>
      <c r="B1718" t="s">
        <v>120</v>
      </c>
      <c r="C1718">
        <v>2025</v>
      </c>
      <c r="D1718" s="4">
        <v>1708.56</v>
      </c>
      <c r="E1718" s="26">
        <v>45993</v>
      </c>
      <c r="F1718" s="5"/>
    </row>
    <row r="1719" spans="1:6" x14ac:dyDescent="0.3">
      <c r="A1719" t="s">
        <v>129</v>
      </c>
      <c r="B1719" t="s">
        <v>120</v>
      </c>
      <c r="C1719">
        <v>2023</v>
      </c>
      <c r="D1719" s="4">
        <v>12313.36</v>
      </c>
      <c r="E1719" s="26">
        <v>45013</v>
      </c>
      <c r="F1719" s="5"/>
    </row>
    <row r="1720" spans="1:6" x14ac:dyDescent="0.3">
      <c r="A1720" t="s">
        <v>125</v>
      </c>
      <c r="B1720" t="s">
        <v>122</v>
      </c>
      <c r="C1720">
        <v>2025</v>
      </c>
      <c r="D1720" s="4">
        <v>7622.59</v>
      </c>
      <c r="E1720" s="26">
        <v>45989</v>
      </c>
      <c r="F1720" s="5"/>
    </row>
    <row r="1721" spans="1:6" x14ac:dyDescent="0.3">
      <c r="A1721" t="s">
        <v>134</v>
      </c>
      <c r="B1721" t="s">
        <v>120</v>
      </c>
      <c r="C1721">
        <v>2025</v>
      </c>
      <c r="D1721" s="4">
        <v>7322.55</v>
      </c>
      <c r="E1721" s="26">
        <v>45720</v>
      </c>
      <c r="F1721" s="5"/>
    </row>
    <row r="1722" spans="1:6" x14ac:dyDescent="0.3">
      <c r="A1722" t="s">
        <v>115</v>
      </c>
      <c r="B1722" t="s">
        <v>116</v>
      </c>
      <c r="C1722">
        <v>2024</v>
      </c>
      <c r="D1722" s="4">
        <v>4218.28</v>
      </c>
      <c r="E1722" s="26">
        <v>45315</v>
      </c>
      <c r="F1722" s="5"/>
    </row>
    <row r="1723" spans="1:6" x14ac:dyDescent="0.3">
      <c r="A1723" t="s">
        <v>155</v>
      </c>
      <c r="B1723" t="s">
        <v>128</v>
      </c>
      <c r="C1723">
        <v>2024</v>
      </c>
      <c r="D1723" s="4">
        <v>10876.74</v>
      </c>
      <c r="E1723" s="26">
        <v>45550</v>
      </c>
      <c r="F1723" s="5"/>
    </row>
    <row r="1724" spans="1:6" x14ac:dyDescent="0.3">
      <c r="A1724" t="s">
        <v>130</v>
      </c>
      <c r="B1724" t="s">
        <v>116</v>
      </c>
      <c r="C1724">
        <v>2025</v>
      </c>
      <c r="D1724" s="4">
        <v>2497.52</v>
      </c>
      <c r="E1724" s="26">
        <v>45871</v>
      </c>
      <c r="F1724" s="5"/>
    </row>
    <row r="1725" spans="1:6" x14ac:dyDescent="0.3">
      <c r="A1725" t="s">
        <v>130</v>
      </c>
      <c r="B1725" t="s">
        <v>116</v>
      </c>
      <c r="C1725">
        <v>2023</v>
      </c>
      <c r="D1725" s="4">
        <v>9721.35</v>
      </c>
      <c r="E1725" s="26">
        <v>45038</v>
      </c>
      <c r="F1725" s="5"/>
    </row>
    <row r="1726" spans="1:6" x14ac:dyDescent="0.3">
      <c r="A1726" t="s">
        <v>146</v>
      </c>
      <c r="B1726" t="s">
        <v>128</v>
      </c>
      <c r="C1726">
        <v>2025</v>
      </c>
      <c r="D1726" s="4">
        <v>11652.53</v>
      </c>
      <c r="E1726" s="26">
        <v>45876</v>
      </c>
      <c r="F1726" s="5"/>
    </row>
    <row r="1727" spans="1:6" x14ac:dyDescent="0.3">
      <c r="A1727" t="s">
        <v>151</v>
      </c>
      <c r="B1727" t="s">
        <v>120</v>
      </c>
      <c r="C1727">
        <v>2023</v>
      </c>
      <c r="D1727" s="4">
        <v>10172.530000000001</v>
      </c>
      <c r="E1727" s="26">
        <v>45112</v>
      </c>
      <c r="F1727" s="5"/>
    </row>
    <row r="1728" spans="1:6" x14ac:dyDescent="0.3">
      <c r="A1728" t="s">
        <v>145</v>
      </c>
      <c r="B1728" t="s">
        <v>120</v>
      </c>
      <c r="C1728">
        <v>2024</v>
      </c>
      <c r="D1728" s="4">
        <v>10946.49</v>
      </c>
      <c r="E1728" s="26">
        <v>45295</v>
      </c>
      <c r="F1728" s="5"/>
    </row>
    <row r="1729" spans="1:6" x14ac:dyDescent="0.3">
      <c r="A1729" t="s">
        <v>124</v>
      </c>
      <c r="B1729" t="s">
        <v>120</v>
      </c>
      <c r="C1729">
        <v>2023</v>
      </c>
      <c r="D1729" s="4">
        <v>5624.32</v>
      </c>
      <c r="E1729" s="26">
        <v>45204</v>
      </c>
      <c r="F1729" s="5"/>
    </row>
    <row r="1730" spans="1:6" x14ac:dyDescent="0.3">
      <c r="A1730" t="s">
        <v>136</v>
      </c>
      <c r="B1730" t="s">
        <v>120</v>
      </c>
      <c r="C1730">
        <v>2025</v>
      </c>
      <c r="D1730" s="4">
        <v>543.79</v>
      </c>
      <c r="E1730" s="26">
        <v>45850</v>
      </c>
      <c r="F1730" s="5"/>
    </row>
    <row r="1731" spans="1:6" x14ac:dyDescent="0.3">
      <c r="A1731" t="s">
        <v>129</v>
      </c>
      <c r="B1731" t="s">
        <v>120</v>
      </c>
      <c r="C1731">
        <v>2024</v>
      </c>
      <c r="D1731" s="4">
        <v>12379.17</v>
      </c>
      <c r="E1731" s="26">
        <v>45340</v>
      </c>
      <c r="F1731" s="5"/>
    </row>
    <row r="1732" spans="1:6" x14ac:dyDescent="0.3">
      <c r="A1732" t="s">
        <v>158</v>
      </c>
      <c r="B1732" t="s">
        <v>120</v>
      </c>
      <c r="C1732">
        <v>2024</v>
      </c>
      <c r="D1732" s="4">
        <v>4672.2299999999996</v>
      </c>
      <c r="E1732" s="26">
        <v>45439</v>
      </c>
      <c r="F1732" s="5"/>
    </row>
    <row r="1733" spans="1:6" x14ac:dyDescent="0.3">
      <c r="A1733" t="s">
        <v>152</v>
      </c>
      <c r="B1733" t="s">
        <v>116</v>
      </c>
      <c r="C1733">
        <v>2023</v>
      </c>
      <c r="D1733" s="4">
        <v>1458.44</v>
      </c>
      <c r="E1733" s="26">
        <v>45180</v>
      </c>
      <c r="F1733" s="5"/>
    </row>
    <row r="1734" spans="1:6" x14ac:dyDescent="0.3">
      <c r="A1734" t="s">
        <v>151</v>
      </c>
      <c r="B1734" t="s">
        <v>120</v>
      </c>
      <c r="C1734">
        <v>2025</v>
      </c>
      <c r="D1734" s="4">
        <v>1377.23</v>
      </c>
      <c r="E1734" s="26">
        <v>45670</v>
      </c>
      <c r="F1734" s="5"/>
    </row>
    <row r="1735" spans="1:6" x14ac:dyDescent="0.3">
      <c r="A1735" t="s">
        <v>127</v>
      </c>
      <c r="B1735" t="s">
        <v>128</v>
      </c>
      <c r="C1735">
        <v>2025</v>
      </c>
      <c r="D1735" s="4">
        <v>8646.6</v>
      </c>
      <c r="E1735" s="26">
        <v>45974</v>
      </c>
      <c r="F1735" s="5"/>
    </row>
    <row r="1736" spans="1:6" x14ac:dyDescent="0.3">
      <c r="A1736" t="s">
        <v>152</v>
      </c>
      <c r="B1736" t="s">
        <v>116</v>
      </c>
      <c r="C1736">
        <v>2025</v>
      </c>
      <c r="D1736" s="4">
        <v>7794.77</v>
      </c>
      <c r="E1736" s="26">
        <v>45702</v>
      </c>
      <c r="F1736" s="5"/>
    </row>
    <row r="1737" spans="1:6" x14ac:dyDescent="0.3">
      <c r="A1737" t="s">
        <v>134</v>
      </c>
      <c r="B1737" t="s">
        <v>120</v>
      </c>
      <c r="C1737">
        <v>2023</v>
      </c>
      <c r="D1737" s="4">
        <v>12789.09</v>
      </c>
      <c r="E1737" s="26">
        <v>45276</v>
      </c>
      <c r="F1737" s="5"/>
    </row>
    <row r="1738" spans="1:6" x14ac:dyDescent="0.3">
      <c r="A1738" t="s">
        <v>133</v>
      </c>
      <c r="B1738" t="s">
        <v>128</v>
      </c>
      <c r="C1738">
        <v>2023</v>
      </c>
      <c r="D1738" s="4">
        <v>2437.31</v>
      </c>
      <c r="E1738" s="26">
        <v>45234</v>
      </c>
      <c r="F1738" s="5"/>
    </row>
    <row r="1739" spans="1:6" x14ac:dyDescent="0.3">
      <c r="A1739" t="s">
        <v>146</v>
      </c>
      <c r="B1739" t="s">
        <v>128</v>
      </c>
      <c r="C1739">
        <v>2024</v>
      </c>
      <c r="D1739" s="4">
        <v>10814.36</v>
      </c>
      <c r="E1739" s="26">
        <v>45293</v>
      </c>
      <c r="F1739" s="5"/>
    </row>
    <row r="1740" spans="1:6" x14ac:dyDescent="0.3">
      <c r="A1740" t="s">
        <v>115</v>
      </c>
      <c r="B1740" t="s">
        <v>116</v>
      </c>
      <c r="C1740">
        <v>2025</v>
      </c>
      <c r="D1740" s="4">
        <v>4451.26</v>
      </c>
      <c r="E1740" s="26">
        <v>45786</v>
      </c>
      <c r="F1740" s="5"/>
    </row>
    <row r="1741" spans="1:6" x14ac:dyDescent="0.3">
      <c r="A1741" t="s">
        <v>151</v>
      </c>
      <c r="B1741" t="s">
        <v>120</v>
      </c>
      <c r="C1741">
        <v>2024</v>
      </c>
      <c r="D1741" s="4">
        <v>8845.0499999999993</v>
      </c>
      <c r="E1741" s="26">
        <v>45518</v>
      </c>
      <c r="F1741" s="5"/>
    </row>
    <row r="1742" spans="1:6" x14ac:dyDescent="0.3">
      <c r="A1742" t="s">
        <v>145</v>
      </c>
      <c r="B1742" t="s">
        <v>120</v>
      </c>
      <c r="C1742">
        <v>2023</v>
      </c>
      <c r="D1742" s="4">
        <v>13453.99</v>
      </c>
      <c r="E1742" s="26">
        <v>45196</v>
      </c>
      <c r="F1742" s="5"/>
    </row>
    <row r="1743" spans="1:6" x14ac:dyDescent="0.3">
      <c r="A1743" t="s">
        <v>150</v>
      </c>
      <c r="B1743" t="s">
        <v>116</v>
      </c>
      <c r="C1743">
        <v>2024</v>
      </c>
      <c r="D1743" s="4">
        <v>368.47</v>
      </c>
      <c r="E1743" s="26">
        <v>45445</v>
      </c>
      <c r="F1743" s="5"/>
    </row>
    <row r="1744" spans="1:6" x14ac:dyDescent="0.3">
      <c r="A1744" t="s">
        <v>156</v>
      </c>
      <c r="B1744" t="s">
        <v>128</v>
      </c>
      <c r="C1744">
        <v>2025</v>
      </c>
      <c r="D1744" s="4">
        <v>7700.32</v>
      </c>
      <c r="E1744" s="26">
        <v>45948</v>
      </c>
      <c r="F1744" s="5"/>
    </row>
    <row r="1745" spans="1:6" x14ac:dyDescent="0.3">
      <c r="A1745" t="s">
        <v>150</v>
      </c>
      <c r="B1745" t="s">
        <v>116</v>
      </c>
      <c r="C1745">
        <v>2025</v>
      </c>
      <c r="D1745" s="4">
        <v>3482.72</v>
      </c>
      <c r="E1745" s="26">
        <v>45937</v>
      </c>
      <c r="F1745" s="5"/>
    </row>
    <row r="1746" spans="1:6" x14ac:dyDescent="0.3">
      <c r="A1746" t="s">
        <v>131</v>
      </c>
      <c r="B1746" t="s">
        <v>122</v>
      </c>
      <c r="C1746">
        <v>2025</v>
      </c>
      <c r="D1746" s="4">
        <v>6461.59</v>
      </c>
      <c r="E1746" s="26">
        <v>45901</v>
      </c>
      <c r="F1746" s="5"/>
    </row>
    <row r="1747" spans="1:6" x14ac:dyDescent="0.3">
      <c r="A1747" t="s">
        <v>151</v>
      </c>
      <c r="B1747" t="s">
        <v>120</v>
      </c>
      <c r="C1747">
        <v>2023</v>
      </c>
      <c r="D1747" s="4">
        <v>8496.7900000000009</v>
      </c>
      <c r="E1747" s="26">
        <v>45089</v>
      </c>
      <c r="F1747" s="5"/>
    </row>
    <row r="1748" spans="1:6" x14ac:dyDescent="0.3">
      <c r="A1748" t="s">
        <v>150</v>
      </c>
      <c r="B1748" t="s">
        <v>116</v>
      </c>
      <c r="C1748">
        <v>2024</v>
      </c>
      <c r="D1748" s="4">
        <v>12373.92</v>
      </c>
      <c r="E1748" s="26">
        <v>45428</v>
      </c>
      <c r="F1748" s="5"/>
    </row>
    <row r="1749" spans="1:6" x14ac:dyDescent="0.3">
      <c r="A1749" t="s">
        <v>154</v>
      </c>
      <c r="B1749" t="s">
        <v>128</v>
      </c>
      <c r="C1749">
        <v>2024</v>
      </c>
      <c r="D1749" s="4">
        <v>875.08</v>
      </c>
      <c r="E1749" s="26">
        <v>45352</v>
      </c>
      <c r="F1749" s="5"/>
    </row>
    <row r="1750" spans="1:6" x14ac:dyDescent="0.3">
      <c r="A1750" t="s">
        <v>146</v>
      </c>
      <c r="B1750" t="s">
        <v>128</v>
      </c>
      <c r="C1750">
        <v>2023</v>
      </c>
      <c r="D1750" s="4">
        <v>9215.2199999999993</v>
      </c>
      <c r="E1750" s="26">
        <v>45039</v>
      </c>
      <c r="F1750" s="5"/>
    </row>
    <row r="1751" spans="1:6" x14ac:dyDescent="0.3">
      <c r="A1751" t="s">
        <v>134</v>
      </c>
      <c r="B1751" t="s">
        <v>120</v>
      </c>
      <c r="C1751">
        <v>2023</v>
      </c>
      <c r="D1751" s="4">
        <v>11982.84</v>
      </c>
      <c r="E1751" s="26">
        <v>45224</v>
      </c>
      <c r="F1751" s="5"/>
    </row>
    <row r="1752" spans="1:6" x14ac:dyDescent="0.3">
      <c r="A1752" t="s">
        <v>133</v>
      </c>
      <c r="B1752" t="s">
        <v>128</v>
      </c>
      <c r="C1752">
        <v>2024</v>
      </c>
      <c r="D1752" s="4">
        <v>4769.33</v>
      </c>
      <c r="E1752" s="26">
        <v>45538</v>
      </c>
      <c r="F1752" s="5"/>
    </row>
    <row r="1753" spans="1:6" x14ac:dyDescent="0.3">
      <c r="A1753" t="s">
        <v>158</v>
      </c>
      <c r="B1753" t="s">
        <v>120</v>
      </c>
      <c r="C1753">
        <v>2023</v>
      </c>
      <c r="D1753" s="4">
        <v>1702.65</v>
      </c>
      <c r="E1753" s="26">
        <v>45027</v>
      </c>
      <c r="F1753" s="5"/>
    </row>
    <row r="1754" spans="1:6" x14ac:dyDescent="0.3">
      <c r="A1754" t="s">
        <v>119</v>
      </c>
      <c r="B1754" t="s">
        <v>120</v>
      </c>
      <c r="C1754">
        <v>2023</v>
      </c>
      <c r="D1754" s="4">
        <v>9474.85</v>
      </c>
      <c r="E1754" s="26">
        <v>45257</v>
      </c>
      <c r="F1754" s="5"/>
    </row>
    <row r="1755" spans="1:6" x14ac:dyDescent="0.3">
      <c r="A1755" t="s">
        <v>153</v>
      </c>
      <c r="B1755" t="s">
        <v>122</v>
      </c>
      <c r="C1755">
        <v>2023</v>
      </c>
      <c r="D1755" s="4">
        <v>13534.85</v>
      </c>
      <c r="E1755" s="26">
        <v>45290</v>
      </c>
      <c r="F1755" s="5"/>
    </row>
    <row r="1756" spans="1:6" x14ac:dyDescent="0.3">
      <c r="A1756" t="s">
        <v>131</v>
      </c>
      <c r="B1756" t="s">
        <v>122</v>
      </c>
      <c r="C1756">
        <v>2025</v>
      </c>
      <c r="D1756" s="4">
        <v>13054.42</v>
      </c>
      <c r="E1756" s="26">
        <v>45664</v>
      </c>
      <c r="F1756" s="5"/>
    </row>
    <row r="1757" spans="1:6" x14ac:dyDescent="0.3">
      <c r="A1757" t="s">
        <v>158</v>
      </c>
      <c r="B1757" t="s">
        <v>120</v>
      </c>
      <c r="C1757">
        <v>2024</v>
      </c>
      <c r="D1757" s="4">
        <v>4654.9399999999996</v>
      </c>
      <c r="E1757" s="26">
        <v>45539</v>
      </c>
      <c r="F1757" s="5"/>
    </row>
    <row r="1758" spans="1:6" x14ac:dyDescent="0.3">
      <c r="A1758" t="s">
        <v>127</v>
      </c>
      <c r="B1758" t="s">
        <v>128</v>
      </c>
      <c r="C1758">
        <v>2023</v>
      </c>
      <c r="D1758" s="4">
        <v>10666.5</v>
      </c>
      <c r="E1758" s="26">
        <v>45065</v>
      </c>
      <c r="F1758" s="5"/>
    </row>
    <row r="1759" spans="1:6" x14ac:dyDescent="0.3">
      <c r="A1759" t="s">
        <v>123</v>
      </c>
      <c r="B1759" t="s">
        <v>120</v>
      </c>
      <c r="C1759">
        <v>2023</v>
      </c>
      <c r="D1759" s="4">
        <v>4241.09</v>
      </c>
      <c r="E1759" s="26">
        <v>45059</v>
      </c>
      <c r="F1759" s="5"/>
    </row>
    <row r="1760" spans="1:6" x14ac:dyDescent="0.3">
      <c r="A1760" t="s">
        <v>137</v>
      </c>
      <c r="B1760" t="s">
        <v>128</v>
      </c>
      <c r="C1760">
        <v>2023</v>
      </c>
      <c r="D1760" s="4">
        <v>9785.75</v>
      </c>
      <c r="E1760" s="26">
        <v>45176</v>
      </c>
      <c r="F1760" s="5"/>
    </row>
    <row r="1761" spans="1:6" x14ac:dyDescent="0.3">
      <c r="A1761" t="s">
        <v>154</v>
      </c>
      <c r="B1761" t="s">
        <v>128</v>
      </c>
      <c r="C1761">
        <v>2024</v>
      </c>
      <c r="D1761" s="4">
        <v>7473.33</v>
      </c>
      <c r="E1761" s="26">
        <v>45601</v>
      </c>
      <c r="F1761" s="5"/>
    </row>
    <row r="1762" spans="1:6" x14ac:dyDescent="0.3">
      <c r="A1762" t="s">
        <v>141</v>
      </c>
      <c r="B1762" t="s">
        <v>116</v>
      </c>
      <c r="C1762">
        <v>2024</v>
      </c>
      <c r="D1762" s="4">
        <v>9802.4500000000007</v>
      </c>
      <c r="E1762" s="26">
        <v>45356</v>
      </c>
      <c r="F1762" s="5"/>
    </row>
    <row r="1763" spans="1:6" x14ac:dyDescent="0.3">
      <c r="A1763" t="s">
        <v>153</v>
      </c>
      <c r="B1763" t="s">
        <v>122</v>
      </c>
      <c r="C1763">
        <v>2023</v>
      </c>
      <c r="D1763" s="4">
        <v>1708.37</v>
      </c>
      <c r="E1763" s="26">
        <v>45046</v>
      </c>
      <c r="F1763" s="5"/>
    </row>
    <row r="1764" spans="1:6" x14ac:dyDescent="0.3">
      <c r="A1764" t="s">
        <v>141</v>
      </c>
      <c r="B1764" t="s">
        <v>116</v>
      </c>
      <c r="C1764">
        <v>2023</v>
      </c>
      <c r="D1764" s="4">
        <v>6874.55</v>
      </c>
      <c r="E1764" s="26">
        <v>45106</v>
      </c>
      <c r="F1764" s="5"/>
    </row>
    <row r="1765" spans="1:6" x14ac:dyDescent="0.3">
      <c r="A1765" t="s">
        <v>143</v>
      </c>
      <c r="B1765" t="s">
        <v>122</v>
      </c>
      <c r="C1765">
        <v>2024</v>
      </c>
      <c r="D1765" s="4">
        <v>6093.34</v>
      </c>
      <c r="E1765" s="26">
        <v>45515</v>
      </c>
      <c r="F1765" s="5"/>
    </row>
    <row r="1766" spans="1:6" x14ac:dyDescent="0.3">
      <c r="A1766" t="s">
        <v>136</v>
      </c>
      <c r="B1766" t="s">
        <v>120</v>
      </c>
      <c r="C1766">
        <v>2024</v>
      </c>
      <c r="D1766" s="4">
        <v>7450.4</v>
      </c>
      <c r="E1766" s="26">
        <v>45458</v>
      </c>
      <c r="F1766" s="5"/>
    </row>
    <row r="1767" spans="1:6" x14ac:dyDescent="0.3">
      <c r="A1767" t="s">
        <v>153</v>
      </c>
      <c r="B1767" t="s">
        <v>122</v>
      </c>
      <c r="C1767">
        <v>2024</v>
      </c>
      <c r="D1767" s="4">
        <v>12994.05</v>
      </c>
      <c r="E1767" s="26">
        <v>45651</v>
      </c>
      <c r="F1767" s="5"/>
    </row>
    <row r="1768" spans="1:6" x14ac:dyDescent="0.3">
      <c r="A1768" t="s">
        <v>153</v>
      </c>
      <c r="B1768" t="s">
        <v>122</v>
      </c>
      <c r="C1768">
        <v>2025</v>
      </c>
      <c r="D1768" s="4">
        <v>7371.94</v>
      </c>
      <c r="E1768" s="26">
        <v>45943</v>
      </c>
      <c r="F1768" s="5"/>
    </row>
    <row r="1769" spans="1:6" x14ac:dyDescent="0.3">
      <c r="A1769" t="s">
        <v>156</v>
      </c>
      <c r="B1769" t="s">
        <v>128</v>
      </c>
      <c r="C1769">
        <v>2025</v>
      </c>
      <c r="D1769" s="4">
        <v>11350.13</v>
      </c>
      <c r="E1769" s="26">
        <v>45935</v>
      </c>
      <c r="F1769" s="5"/>
    </row>
    <row r="1770" spans="1:6" x14ac:dyDescent="0.3">
      <c r="A1770" t="s">
        <v>153</v>
      </c>
      <c r="B1770" t="s">
        <v>122</v>
      </c>
      <c r="C1770">
        <v>2024</v>
      </c>
      <c r="D1770" s="4">
        <v>9978.5</v>
      </c>
      <c r="E1770" s="26">
        <v>45403</v>
      </c>
      <c r="F1770" s="5"/>
    </row>
    <row r="1771" spans="1:6" x14ac:dyDescent="0.3">
      <c r="A1771" t="s">
        <v>118</v>
      </c>
      <c r="B1771" t="s">
        <v>116</v>
      </c>
      <c r="C1771">
        <v>2023</v>
      </c>
      <c r="D1771" s="4">
        <v>1831.26</v>
      </c>
      <c r="E1771" s="26">
        <v>44930</v>
      </c>
      <c r="F1771" s="5"/>
    </row>
    <row r="1772" spans="1:6" x14ac:dyDescent="0.3">
      <c r="A1772" t="s">
        <v>129</v>
      </c>
      <c r="B1772" t="s">
        <v>120</v>
      </c>
      <c r="C1772">
        <v>2023</v>
      </c>
      <c r="D1772" s="4">
        <v>10377.06</v>
      </c>
      <c r="E1772" s="26">
        <v>45168</v>
      </c>
      <c r="F1772" s="5"/>
    </row>
    <row r="1773" spans="1:6" x14ac:dyDescent="0.3">
      <c r="A1773" t="s">
        <v>138</v>
      </c>
      <c r="B1773" t="s">
        <v>122</v>
      </c>
      <c r="C1773">
        <v>2025</v>
      </c>
      <c r="D1773" s="4">
        <v>5913.77</v>
      </c>
      <c r="E1773" s="26">
        <v>45776</v>
      </c>
      <c r="F1773" s="5"/>
    </row>
    <row r="1774" spans="1:6" x14ac:dyDescent="0.3">
      <c r="A1774" t="s">
        <v>117</v>
      </c>
      <c r="B1774" t="s">
        <v>116</v>
      </c>
      <c r="C1774">
        <v>2024</v>
      </c>
      <c r="D1774" s="4">
        <v>7933.73</v>
      </c>
      <c r="E1774" s="26">
        <v>45643</v>
      </c>
      <c r="F1774" s="5"/>
    </row>
    <row r="1775" spans="1:6" x14ac:dyDescent="0.3">
      <c r="A1775" t="s">
        <v>138</v>
      </c>
      <c r="B1775" t="s">
        <v>122</v>
      </c>
      <c r="C1775">
        <v>2023</v>
      </c>
      <c r="D1775" s="4">
        <v>9040.5300000000007</v>
      </c>
      <c r="E1775" s="26">
        <v>44950</v>
      </c>
      <c r="F1775" s="5"/>
    </row>
    <row r="1776" spans="1:6" x14ac:dyDescent="0.3">
      <c r="A1776" t="s">
        <v>130</v>
      </c>
      <c r="B1776" t="s">
        <v>116</v>
      </c>
      <c r="C1776">
        <v>2024</v>
      </c>
      <c r="D1776" s="4">
        <v>11104.7</v>
      </c>
      <c r="E1776" s="26">
        <v>45448</v>
      </c>
      <c r="F1776" s="5"/>
    </row>
    <row r="1777" spans="1:6" x14ac:dyDescent="0.3">
      <c r="A1777" t="s">
        <v>149</v>
      </c>
      <c r="B1777" t="s">
        <v>122</v>
      </c>
      <c r="C1777">
        <v>2024</v>
      </c>
      <c r="D1777" s="4">
        <v>7192.32</v>
      </c>
      <c r="E1777" s="26">
        <v>45541</v>
      </c>
      <c r="F1777" s="5"/>
    </row>
    <row r="1778" spans="1:6" x14ac:dyDescent="0.3">
      <c r="A1778" t="s">
        <v>136</v>
      </c>
      <c r="B1778" t="s">
        <v>120</v>
      </c>
      <c r="C1778">
        <v>2023</v>
      </c>
      <c r="D1778" s="4">
        <v>1770.95</v>
      </c>
      <c r="E1778" s="26">
        <v>44939</v>
      </c>
      <c r="F1778" s="5"/>
    </row>
    <row r="1779" spans="1:6" x14ac:dyDescent="0.3">
      <c r="A1779" t="s">
        <v>117</v>
      </c>
      <c r="B1779" t="s">
        <v>116</v>
      </c>
      <c r="C1779">
        <v>2024</v>
      </c>
      <c r="D1779" s="4">
        <v>5665.48</v>
      </c>
      <c r="E1779" s="26">
        <v>45626</v>
      </c>
      <c r="F1779" s="5"/>
    </row>
    <row r="1780" spans="1:6" x14ac:dyDescent="0.3">
      <c r="A1780" t="s">
        <v>133</v>
      </c>
      <c r="B1780" t="s">
        <v>128</v>
      </c>
      <c r="C1780">
        <v>2023</v>
      </c>
      <c r="D1780" s="4">
        <v>11682.19</v>
      </c>
      <c r="E1780" s="26">
        <v>44986</v>
      </c>
      <c r="F1780" s="5"/>
    </row>
    <row r="1781" spans="1:6" x14ac:dyDescent="0.3">
      <c r="A1781" t="s">
        <v>118</v>
      </c>
      <c r="B1781" t="s">
        <v>116</v>
      </c>
      <c r="C1781">
        <v>2024</v>
      </c>
      <c r="D1781" s="4">
        <v>11706.79</v>
      </c>
      <c r="E1781" s="26">
        <v>45603</v>
      </c>
      <c r="F1781" s="5"/>
    </row>
    <row r="1782" spans="1:6" x14ac:dyDescent="0.3">
      <c r="A1782" t="s">
        <v>126</v>
      </c>
      <c r="B1782" t="s">
        <v>116</v>
      </c>
      <c r="C1782">
        <v>2025</v>
      </c>
      <c r="D1782" s="4">
        <v>11202.11</v>
      </c>
      <c r="E1782" s="26">
        <v>45898</v>
      </c>
      <c r="F1782" s="5"/>
    </row>
    <row r="1783" spans="1:6" x14ac:dyDescent="0.3">
      <c r="A1783" t="s">
        <v>137</v>
      </c>
      <c r="B1783" t="s">
        <v>128</v>
      </c>
      <c r="C1783">
        <v>2025</v>
      </c>
      <c r="D1783" s="4">
        <v>2344.33</v>
      </c>
      <c r="E1783" s="26">
        <v>45913</v>
      </c>
      <c r="F1783" s="5"/>
    </row>
    <row r="1784" spans="1:6" x14ac:dyDescent="0.3">
      <c r="A1784" t="s">
        <v>129</v>
      </c>
      <c r="B1784" t="s">
        <v>120</v>
      </c>
      <c r="C1784">
        <v>2024</v>
      </c>
      <c r="D1784" s="4">
        <v>6582.09</v>
      </c>
      <c r="E1784" s="26">
        <v>45613</v>
      </c>
      <c r="F1784" s="5"/>
    </row>
    <row r="1785" spans="1:6" x14ac:dyDescent="0.3">
      <c r="A1785" t="s">
        <v>148</v>
      </c>
      <c r="B1785" t="s">
        <v>120</v>
      </c>
      <c r="C1785">
        <v>2023</v>
      </c>
      <c r="D1785" s="4">
        <v>11724.46</v>
      </c>
      <c r="E1785" s="26">
        <v>45041</v>
      </c>
      <c r="F1785" s="5"/>
    </row>
    <row r="1786" spans="1:6" x14ac:dyDescent="0.3">
      <c r="A1786" t="s">
        <v>149</v>
      </c>
      <c r="B1786" t="s">
        <v>122</v>
      </c>
      <c r="C1786">
        <v>2024</v>
      </c>
      <c r="D1786" s="4">
        <v>7861.45</v>
      </c>
      <c r="E1786" s="26">
        <v>45573</v>
      </c>
      <c r="F1786" s="5"/>
    </row>
    <row r="1787" spans="1:6" x14ac:dyDescent="0.3">
      <c r="A1787" t="s">
        <v>159</v>
      </c>
      <c r="B1787" t="s">
        <v>116</v>
      </c>
      <c r="C1787">
        <v>2024</v>
      </c>
      <c r="D1787" s="4">
        <v>8168.09</v>
      </c>
      <c r="E1787" s="26">
        <v>45353</v>
      </c>
      <c r="F1787" s="5"/>
    </row>
    <row r="1788" spans="1:6" x14ac:dyDescent="0.3">
      <c r="A1788" t="s">
        <v>117</v>
      </c>
      <c r="B1788" t="s">
        <v>116</v>
      </c>
      <c r="C1788">
        <v>2024</v>
      </c>
      <c r="D1788" s="4">
        <v>1113.74</v>
      </c>
      <c r="E1788" s="26">
        <v>45651</v>
      </c>
      <c r="F1788" s="5"/>
    </row>
    <row r="1789" spans="1:6" x14ac:dyDescent="0.3">
      <c r="A1789" t="s">
        <v>146</v>
      </c>
      <c r="B1789" t="s">
        <v>128</v>
      </c>
      <c r="C1789">
        <v>2024</v>
      </c>
      <c r="D1789" s="4">
        <v>11802.2</v>
      </c>
      <c r="E1789" s="26">
        <v>45501</v>
      </c>
      <c r="F1789" s="5"/>
    </row>
    <row r="1790" spans="1:6" x14ac:dyDescent="0.3">
      <c r="A1790" t="s">
        <v>117</v>
      </c>
      <c r="B1790" t="s">
        <v>116</v>
      </c>
      <c r="C1790">
        <v>2025</v>
      </c>
      <c r="D1790" s="4">
        <v>8845.85</v>
      </c>
      <c r="E1790" s="26">
        <v>45695</v>
      </c>
      <c r="F1790" s="5"/>
    </row>
    <row r="1791" spans="1:6" x14ac:dyDescent="0.3">
      <c r="A1791" t="s">
        <v>152</v>
      </c>
      <c r="B1791" t="s">
        <v>116</v>
      </c>
      <c r="C1791">
        <v>2025</v>
      </c>
      <c r="D1791" s="4">
        <v>2785.83</v>
      </c>
      <c r="E1791" s="26">
        <v>45724</v>
      </c>
      <c r="F1791" s="5"/>
    </row>
    <row r="1792" spans="1:6" x14ac:dyDescent="0.3">
      <c r="A1792" t="s">
        <v>145</v>
      </c>
      <c r="B1792" t="s">
        <v>120</v>
      </c>
      <c r="C1792">
        <v>2024</v>
      </c>
      <c r="D1792" s="4">
        <v>9932.67</v>
      </c>
      <c r="E1792" s="26">
        <v>45558</v>
      </c>
      <c r="F1792" s="5"/>
    </row>
    <row r="1793" spans="1:6" x14ac:dyDescent="0.3">
      <c r="A1793" t="s">
        <v>136</v>
      </c>
      <c r="B1793" t="s">
        <v>120</v>
      </c>
      <c r="C1793">
        <v>2023</v>
      </c>
      <c r="D1793" s="4">
        <v>3946.66</v>
      </c>
      <c r="E1793" s="26">
        <v>44991</v>
      </c>
      <c r="F1793" s="5"/>
    </row>
    <row r="1794" spans="1:6" x14ac:dyDescent="0.3">
      <c r="A1794" t="s">
        <v>158</v>
      </c>
      <c r="B1794" t="s">
        <v>120</v>
      </c>
      <c r="C1794">
        <v>2025</v>
      </c>
      <c r="D1794" s="4">
        <v>12303.27</v>
      </c>
      <c r="E1794" s="26">
        <v>45944</v>
      </c>
      <c r="F1794" s="5"/>
    </row>
    <row r="1795" spans="1:6" x14ac:dyDescent="0.3">
      <c r="A1795" t="s">
        <v>140</v>
      </c>
      <c r="B1795" t="s">
        <v>128</v>
      </c>
      <c r="C1795">
        <v>2025</v>
      </c>
      <c r="D1795" s="4">
        <v>11646.51</v>
      </c>
      <c r="E1795" s="26">
        <v>45852</v>
      </c>
      <c r="F1795" s="5"/>
    </row>
    <row r="1796" spans="1:6" x14ac:dyDescent="0.3">
      <c r="A1796" t="s">
        <v>149</v>
      </c>
      <c r="B1796" t="s">
        <v>122</v>
      </c>
      <c r="C1796">
        <v>2024</v>
      </c>
      <c r="D1796" s="4">
        <v>7446.39</v>
      </c>
      <c r="E1796" s="26">
        <v>45369</v>
      </c>
      <c r="F1796" s="5"/>
    </row>
    <row r="1797" spans="1:6" x14ac:dyDescent="0.3">
      <c r="A1797" t="s">
        <v>119</v>
      </c>
      <c r="B1797" t="s">
        <v>120</v>
      </c>
      <c r="C1797">
        <v>2023</v>
      </c>
      <c r="D1797" s="4">
        <v>5364.18</v>
      </c>
      <c r="E1797" s="26">
        <v>45156</v>
      </c>
      <c r="F1797" s="5"/>
    </row>
    <row r="1798" spans="1:6" x14ac:dyDescent="0.3">
      <c r="A1798" t="s">
        <v>134</v>
      </c>
      <c r="B1798" t="s">
        <v>120</v>
      </c>
      <c r="C1798">
        <v>2024</v>
      </c>
      <c r="D1798" s="4">
        <v>12804.28</v>
      </c>
      <c r="E1798" s="26">
        <v>45340</v>
      </c>
      <c r="F1798" s="5"/>
    </row>
    <row r="1799" spans="1:6" x14ac:dyDescent="0.3">
      <c r="A1799" t="s">
        <v>151</v>
      </c>
      <c r="B1799" t="s">
        <v>120</v>
      </c>
      <c r="C1799">
        <v>2025</v>
      </c>
      <c r="D1799" s="4">
        <v>544.1</v>
      </c>
      <c r="E1799" s="26">
        <v>45963</v>
      </c>
      <c r="F1799" s="5"/>
    </row>
    <row r="1800" spans="1:6" x14ac:dyDescent="0.3">
      <c r="A1800" t="s">
        <v>126</v>
      </c>
      <c r="B1800" t="s">
        <v>116</v>
      </c>
      <c r="C1800">
        <v>2025</v>
      </c>
      <c r="D1800" s="4">
        <v>2326.27</v>
      </c>
      <c r="E1800" s="26">
        <v>45951</v>
      </c>
      <c r="F1800" s="5"/>
    </row>
    <row r="1801" spans="1:6" x14ac:dyDescent="0.3">
      <c r="A1801" t="s">
        <v>117</v>
      </c>
      <c r="B1801" t="s">
        <v>116</v>
      </c>
      <c r="C1801">
        <v>2025</v>
      </c>
      <c r="D1801" s="4">
        <v>10307.69</v>
      </c>
      <c r="E1801" s="26">
        <v>45917</v>
      </c>
      <c r="F1801" s="5"/>
    </row>
    <row r="1802" spans="1:6" x14ac:dyDescent="0.3">
      <c r="A1802" t="s">
        <v>141</v>
      </c>
      <c r="B1802" t="s">
        <v>116</v>
      </c>
      <c r="C1802">
        <v>2024</v>
      </c>
      <c r="D1802" s="4">
        <v>10902.36</v>
      </c>
      <c r="E1802" s="26">
        <v>45562</v>
      </c>
      <c r="F1802" s="5"/>
    </row>
    <row r="1803" spans="1:6" x14ac:dyDescent="0.3">
      <c r="A1803" t="s">
        <v>146</v>
      </c>
      <c r="B1803" t="s">
        <v>128</v>
      </c>
      <c r="C1803">
        <v>2023</v>
      </c>
      <c r="D1803" s="4">
        <v>11545.51</v>
      </c>
      <c r="E1803" s="26">
        <v>45128</v>
      </c>
      <c r="F1803" s="5"/>
    </row>
    <row r="1804" spans="1:6" x14ac:dyDescent="0.3">
      <c r="A1804" t="s">
        <v>141</v>
      </c>
      <c r="B1804" t="s">
        <v>116</v>
      </c>
      <c r="C1804">
        <v>2023</v>
      </c>
      <c r="D1804" s="4">
        <v>3031.58</v>
      </c>
      <c r="E1804" s="26">
        <v>45198</v>
      </c>
      <c r="F1804" s="5"/>
    </row>
    <row r="1805" spans="1:6" x14ac:dyDescent="0.3">
      <c r="A1805" t="s">
        <v>134</v>
      </c>
      <c r="B1805" t="s">
        <v>120</v>
      </c>
      <c r="C1805">
        <v>2025</v>
      </c>
      <c r="D1805" s="4">
        <v>5548.72</v>
      </c>
      <c r="E1805" s="26">
        <v>45867</v>
      </c>
      <c r="F1805" s="5"/>
    </row>
    <row r="1806" spans="1:6" x14ac:dyDescent="0.3">
      <c r="A1806" t="s">
        <v>141</v>
      </c>
      <c r="B1806" t="s">
        <v>116</v>
      </c>
      <c r="C1806">
        <v>2023</v>
      </c>
      <c r="D1806" s="4">
        <v>256.72000000000003</v>
      </c>
      <c r="E1806" s="26">
        <v>45164</v>
      </c>
      <c r="F1806" s="5"/>
    </row>
    <row r="1807" spans="1:6" x14ac:dyDescent="0.3">
      <c r="A1807" t="s">
        <v>134</v>
      </c>
      <c r="B1807" t="s">
        <v>120</v>
      </c>
      <c r="C1807">
        <v>2023</v>
      </c>
      <c r="D1807" s="4">
        <v>4799.3999999999996</v>
      </c>
      <c r="E1807" s="26">
        <v>45105</v>
      </c>
      <c r="F1807" s="5"/>
    </row>
    <row r="1808" spans="1:6" x14ac:dyDescent="0.3">
      <c r="A1808" t="s">
        <v>134</v>
      </c>
      <c r="B1808" t="s">
        <v>120</v>
      </c>
      <c r="C1808">
        <v>2023</v>
      </c>
      <c r="D1808" s="4">
        <v>7383.97</v>
      </c>
      <c r="E1808" s="26">
        <v>45138</v>
      </c>
      <c r="F1808" s="5"/>
    </row>
    <row r="1809" spans="1:6" x14ac:dyDescent="0.3">
      <c r="A1809" t="s">
        <v>149</v>
      </c>
      <c r="B1809" t="s">
        <v>122</v>
      </c>
      <c r="C1809">
        <v>2023</v>
      </c>
      <c r="D1809" s="4">
        <v>8170.33</v>
      </c>
      <c r="E1809" s="26">
        <v>44973</v>
      </c>
      <c r="F1809" s="5"/>
    </row>
    <row r="1810" spans="1:6" x14ac:dyDescent="0.3">
      <c r="A1810" t="s">
        <v>149</v>
      </c>
      <c r="B1810" t="s">
        <v>122</v>
      </c>
      <c r="C1810">
        <v>2024</v>
      </c>
      <c r="D1810" s="4">
        <v>4628.1499999999996</v>
      </c>
      <c r="E1810" s="26">
        <v>45356</v>
      </c>
      <c r="F1810" s="5"/>
    </row>
    <row r="1811" spans="1:6" x14ac:dyDescent="0.3">
      <c r="A1811" t="s">
        <v>118</v>
      </c>
      <c r="B1811" t="s">
        <v>116</v>
      </c>
      <c r="C1811">
        <v>2024</v>
      </c>
      <c r="D1811" s="4">
        <v>4017.76</v>
      </c>
      <c r="E1811" s="26">
        <v>45513</v>
      </c>
      <c r="F1811" s="5"/>
    </row>
    <row r="1812" spans="1:6" x14ac:dyDescent="0.3">
      <c r="A1812" t="s">
        <v>136</v>
      </c>
      <c r="B1812" t="s">
        <v>120</v>
      </c>
      <c r="C1812">
        <v>2025</v>
      </c>
      <c r="D1812" s="4">
        <v>9461.51</v>
      </c>
      <c r="E1812" s="26">
        <v>45830</v>
      </c>
      <c r="F1812" s="5"/>
    </row>
    <row r="1813" spans="1:6" x14ac:dyDescent="0.3">
      <c r="A1813" t="s">
        <v>154</v>
      </c>
      <c r="B1813" t="s">
        <v>128</v>
      </c>
      <c r="C1813">
        <v>2023</v>
      </c>
      <c r="D1813" s="4">
        <v>2373.4499999999998</v>
      </c>
      <c r="E1813" s="26">
        <v>45232</v>
      </c>
      <c r="F1813" s="5"/>
    </row>
    <row r="1814" spans="1:6" x14ac:dyDescent="0.3">
      <c r="A1814" t="s">
        <v>145</v>
      </c>
      <c r="B1814" t="s">
        <v>120</v>
      </c>
      <c r="C1814">
        <v>2023</v>
      </c>
      <c r="D1814" s="4">
        <v>13424.51</v>
      </c>
      <c r="E1814" s="26">
        <v>44958</v>
      </c>
      <c r="F1814" s="5"/>
    </row>
    <row r="1815" spans="1:6" x14ac:dyDescent="0.3">
      <c r="A1815" t="s">
        <v>123</v>
      </c>
      <c r="B1815" t="s">
        <v>120</v>
      </c>
      <c r="C1815">
        <v>2025</v>
      </c>
      <c r="D1815" s="4">
        <v>1612.78</v>
      </c>
      <c r="E1815" s="26">
        <v>45979</v>
      </c>
      <c r="F1815" s="5"/>
    </row>
    <row r="1816" spans="1:6" x14ac:dyDescent="0.3">
      <c r="A1816" t="s">
        <v>124</v>
      </c>
      <c r="B1816" t="s">
        <v>120</v>
      </c>
      <c r="C1816">
        <v>2024</v>
      </c>
      <c r="D1816" s="4">
        <v>7781.25</v>
      </c>
      <c r="E1816" s="26">
        <v>45644</v>
      </c>
      <c r="F1816" s="5"/>
    </row>
    <row r="1817" spans="1:6" x14ac:dyDescent="0.3">
      <c r="A1817" t="s">
        <v>154</v>
      </c>
      <c r="B1817" t="s">
        <v>128</v>
      </c>
      <c r="C1817">
        <v>2023</v>
      </c>
      <c r="D1817" s="4">
        <v>13217.23</v>
      </c>
      <c r="E1817" s="26">
        <v>45216</v>
      </c>
      <c r="F1817" s="5"/>
    </row>
    <row r="1818" spans="1:6" x14ac:dyDescent="0.3">
      <c r="A1818" t="s">
        <v>130</v>
      </c>
      <c r="B1818" t="s">
        <v>116</v>
      </c>
      <c r="C1818">
        <v>2024</v>
      </c>
      <c r="D1818" s="4">
        <v>2563.59</v>
      </c>
      <c r="E1818" s="26">
        <v>45428</v>
      </c>
      <c r="F1818" s="5"/>
    </row>
    <row r="1819" spans="1:6" x14ac:dyDescent="0.3">
      <c r="A1819" t="s">
        <v>149</v>
      </c>
      <c r="B1819" t="s">
        <v>122</v>
      </c>
      <c r="C1819">
        <v>2024</v>
      </c>
      <c r="D1819" s="4">
        <v>7659.96</v>
      </c>
      <c r="E1819" s="26">
        <v>45620</v>
      </c>
      <c r="F1819" s="5"/>
    </row>
    <row r="1820" spans="1:6" x14ac:dyDescent="0.3">
      <c r="A1820" t="s">
        <v>115</v>
      </c>
      <c r="B1820" t="s">
        <v>116</v>
      </c>
      <c r="C1820">
        <v>2023</v>
      </c>
      <c r="D1820" s="4">
        <v>600.1</v>
      </c>
      <c r="E1820" s="26">
        <v>45193</v>
      </c>
      <c r="F1820" s="5"/>
    </row>
    <row r="1821" spans="1:6" x14ac:dyDescent="0.3">
      <c r="A1821" t="s">
        <v>115</v>
      </c>
      <c r="B1821" t="s">
        <v>116</v>
      </c>
      <c r="C1821">
        <v>2023</v>
      </c>
      <c r="D1821" s="4">
        <v>5493.68</v>
      </c>
      <c r="E1821" s="26">
        <v>45143</v>
      </c>
      <c r="F1821" s="5"/>
    </row>
    <row r="1822" spans="1:6" x14ac:dyDescent="0.3">
      <c r="A1822" t="s">
        <v>158</v>
      </c>
      <c r="B1822" t="s">
        <v>120</v>
      </c>
      <c r="C1822">
        <v>2025</v>
      </c>
      <c r="D1822" s="4">
        <v>5608.45</v>
      </c>
      <c r="E1822" s="26">
        <v>45800</v>
      </c>
      <c r="F1822" s="5"/>
    </row>
    <row r="1823" spans="1:6" x14ac:dyDescent="0.3">
      <c r="A1823" t="s">
        <v>143</v>
      </c>
      <c r="B1823" t="s">
        <v>122</v>
      </c>
      <c r="C1823">
        <v>2025</v>
      </c>
      <c r="D1823" s="4">
        <v>8705.15</v>
      </c>
      <c r="E1823" s="26">
        <v>45840</v>
      </c>
      <c r="F1823" s="5"/>
    </row>
    <row r="1824" spans="1:6" x14ac:dyDescent="0.3">
      <c r="A1824" t="s">
        <v>149</v>
      </c>
      <c r="B1824" t="s">
        <v>122</v>
      </c>
      <c r="C1824">
        <v>2024</v>
      </c>
      <c r="D1824" s="4">
        <v>11480.7</v>
      </c>
      <c r="E1824" s="26">
        <v>45607</v>
      </c>
      <c r="F1824" s="5"/>
    </row>
    <row r="1825" spans="1:6" x14ac:dyDescent="0.3">
      <c r="A1825" t="s">
        <v>124</v>
      </c>
      <c r="B1825" t="s">
        <v>120</v>
      </c>
      <c r="C1825">
        <v>2023</v>
      </c>
      <c r="D1825" s="4">
        <v>13636.81</v>
      </c>
      <c r="E1825" s="26">
        <v>45087</v>
      </c>
      <c r="F1825" s="5"/>
    </row>
    <row r="1826" spans="1:6" x14ac:dyDescent="0.3">
      <c r="A1826" t="s">
        <v>129</v>
      </c>
      <c r="B1826" t="s">
        <v>120</v>
      </c>
      <c r="C1826">
        <v>2023</v>
      </c>
      <c r="D1826" s="4">
        <v>1482.24</v>
      </c>
      <c r="E1826" s="26">
        <v>45196</v>
      </c>
      <c r="F1826" s="5"/>
    </row>
    <row r="1827" spans="1:6" x14ac:dyDescent="0.3">
      <c r="A1827" t="s">
        <v>129</v>
      </c>
      <c r="B1827" t="s">
        <v>120</v>
      </c>
      <c r="C1827">
        <v>2023</v>
      </c>
      <c r="D1827" s="4">
        <v>6487.06</v>
      </c>
      <c r="E1827" s="26">
        <v>45126</v>
      </c>
      <c r="F1827" s="5"/>
    </row>
    <row r="1828" spans="1:6" x14ac:dyDescent="0.3">
      <c r="A1828" t="s">
        <v>129</v>
      </c>
      <c r="B1828" t="s">
        <v>120</v>
      </c>
      <c r="C1828">
        <v>2025</v>
      </c>
      <c r="D1828" s="4">
        <v>3397.38</v>
      </c>
      <c r="E1828" s="26">
        <v>45890</v>
      </c>
      <c r="F1828" s="5"/>
    </row>
    <row r="1829" spans="1:6" x14ac:dyDescent="0.3">
      <c r="A1829" t="s">
        <v>147</v>
      </c>
      <c r="B1829" t="s">
        <v>120</v>
      </c>
      <c r="C1829">
        <v>2023</v>
      </c>
      <c r="D1829" s="4">
        <v>12083.13</v>
      </c>
      <c r="E1829" s="26">
        <v>45221</v>
      </c>
      <c r="F1829" s="5"/>
    </row>
    <row r="1830" spans="1:6" x14ac:dyDescent="0.3">
      <c r="A1830" t="s">
        <v>153</v>
      </c>
      <c r="B1830" t="s">
        <v>122</v>
      </c>
      <c r="C1830">
        <v>2024</v>
      </c>
      <c r="D1830" s="4">
        <v>12797.49</v>
      </c>
      <c r="E1830" s="26">
        <v>45455</v>
      </c>
      <c r="F1830" s="5"/>
    </row>
    <row r="1831" spans="1:6" x14ac:dyDescent="0.3">
      <c r="A1831" t="s">
        <v>155</v>
      </c>
      <c r="B1831" t="s">
        <v>128</v>
      </c>
      <c r="C1831">
        <v>2024</v>
      </c>
      <c r="D1831" s="4">
        <v>9854.68</v>
      </c>
      <c r="E1831" s="26">
        <v>45302</v>
      </c>
      <c r="F1831" s="5"/>
    </row>
    <row r="1832" spans="1:6" x14ac:dyDescent="0.3">
      <c r="A1832" t="s">
        <v>117</v>
      </c>
      <c r="B1832" t="s">
        <v>116</v>
      </c>
      <c r="C1832">
        <v>2024</v>
      </c>
      <c r="D1832" s="4">
        <v>6455.31</v>
      </c>
      <c r="E1832" s="26">
        <v>45592</v>
      </c>
      <c r="F1832" s="5"/>
    </row>
    <row r="1833" spans="1:6" x14ac:dyDescent="0.3">
      <c r="A1833" t="s">
        <v>159</v>
      </c>
      <c r="B1833" t="s">
        <v>116</v>
      </c>
      <c r="C1833">
        <v>2023</v>
      </c>
      <c r="D1833" s="4">
        <v>6759.61</v>
      </c>
      <c r="E1833" s="26">
        <v>45060</v>
      </c>
      <c r="F1833" s="5"/>
    </row>
    <row r="1834" spans="1:6" x14ac:dyDescent="0.3">
      <c r="A1834" t="s">
        <v>139</v>
      </c>
      <c r="B1834" t="s">
        <v>120</v>
      </c>
      <c r="C1834">
        <v>2025</v>
      </c>
      <c r="D1834" s="4">
        <v>6565.14</v>
      </c>
      <c r="E1834" s="26">
        <v>45907</v>
      </c>
      <c r="F1834" s="5"/>
    </row>
    <row r="1835" spans="1:6" x14ac:dyDescent="0.3">
      <c r="A1835" t="s">
        <v>152</v>
      </c>
      <c r="B1835" t="s">
        <v>116</v>
      </c>
      <c r="C1835">
        <v>2024</v>
      </c>
      <c r="D1835" s="4">
        <v>10797.59</v>
      </c>
      <c r="E1835" s="26">
        <v>45505</v>
      </c>
      <c r="F1835" s="5"/>
    </row>
    <row r="1836" spans="1:6" x14ac:dyDescent="0.3">
      <c r="A1836" t="s">
        <v>143</v>
      </c>
      <c r="B1836" t="s">
        <v>122</v>
      </c>
      <c r="C1836">
        <v>2023</v>
      </c>
      <c r="D1836" s="4">
        <v>7209.71</v>
      </c>
      <c r="E1836" s="26">
        <v>45187</v>
      </c>
      <c r="F1836" s="5"/>
    </row>
    <row r="1837" spans="1:6" x14ac:dyDescent="0.3">
      <c r="A1837" t="s">
        <v>155</v>
      </c>
      <c r="B1837" t="s">
        <v>128</v>
      </c>
      <c r="C1837">
        <v>2023</v>
      </c>
      <c r="D1837" s="4">
        <v>4697</v>
      </c>
      <c r="E1837" s="26">
        <v>45146</v>
      </c>
      <c r="F1837" s="5"/>
    </row>
    <row r="1838" spans="1:6" x14ac:dyDescent="0.3">
      <c r="A1838" t="s">
        <v>121</v>
      </c>
      <c r="B1838" t="s">
        <v>122</v>
      </c>
      <c r="C1838">
        <v>2024</v>
      </c>
      <c r="D1838" s="4">
        <v>7551.89</v>
      </c>
      <c r="E1838" s="26">
        <v>45545</v>
      </c>
      <c r="F1838" s="5"/>
    </row>
    <row r="1839" spans="1:6" x14ac:dyDescent="0.3">
      <c r="A1839" t="s">
        <v>155</v>
      </c>
      <c r="B1839" t="s">
        <v>128</v>
      </c>
      <c r="C1839">
        <v>2025</v>
      </c>
      <c r="D1839" s="4">
        <v>3492.34</v>
      </c>
      <c r="E1839" s="26">
        <v>45773</v>
      </c>
      <c r="F1839" s="5"/>
    </row>
    <row r="1840" spans="1:6" x14ac:dyDescent="0.3">
      <c r="A1840" t="s">
        <v>125</v>
      </c>
      <c r="B1840" t="s">
        <v>122</v>
      </c>
      <c r="C1840">
        <v>2023</v>
      </c>
      <c r="D1840" s="4">
        <v>13639.71</v>
      </c>
      <c r="E1840" s="26">
        <v>45252</v>
      </c>
      <c r="F1840" s="5"/>
    </row>
    <row r="1841" spans="1:6" x14ac:dyDescent="0.3">
      <c r="A1841" t="s">
        <v>127</v>
      </c>
      <c r="B1841" t="s">
        <v>128</v>
      </c>
      <c r="C1841">
        <v>2023</v>
      </c>
      <c r="D1841" s="4">
        <v>4901.8599999999997</v>
      </c>
      <c r="E1841" s="26">
        <v>45062</v>
      </c>
      <c r="F1841" s="5"/>
    </row>
    <row r="1842" spans="1:6" x14ac:dyDescent="0.3">
      <c r="A1842" t="s">
        <v>131</v>
      </c>
      <c r="B1842" t="s">
        <v>122</v>
      </c>
      <c r="C1842">
        <v>2025</v>
      </c>
      <c r="D1842" s="4">
        <v>11023.53</v>
      </c>
      <c r="E1842" s="26">
        <v>45809</v>
      </c>
      <c r="F1842" s="5"/>
    </row>
    <row r="1843" spans="1:6" x14ac:dyDescent="0.3">
      <c r="A1843" t="s">
        <v>144</v>
      </c>
      <c r="B1843" t="s">
        <v>116</v>
      </c>
      <c r="C1843">
        <v>2024</v>
      </c>
      <c r="D1843" s="4">
        <v>7714.47</v>
      </c>
      <c r="E1843" s="26">
        <v>45627</v>
      </c>
      <c r="F1843" s="5"/>
    </row>
    <row r="1844" spans="1:6" x14ac:dyDescent="0.3">
      <c r="A1844" t="s">
        <v>125</v>
      </c>
      <c r="B1844" t="s">
        <v>122</v>
      </c>
      <c r="C1844">
        <v>2023</v>
      </c>
      <c r="D1844" s="4">
        <v>9344.0499999999993</v>
      </c>
      <c r="E1844" s="26">
        <v>45281</v>
      </c>
      <c r="F1844" s="5"/>
    </row>
    <row r="1845" spans="1:6" x14ac:dyDescent="0.3">
      <c r="A1845" t="s">
        <v>121</v>
      </c>
      <c r="B1845" t="s">
        <v>122</v>
      </c>
      <c r="C1845">
        <v>2025</v>
      </c>
      <c r="D1845" s="4">
        <v>1777.66</v>
      </c>
      <c r="E1845" s="26">
        <v>45923</v>
      </c>
      <c r="F1845" s="5"/>
    </row>
    <row r="1846" spans="1:6" x14ac:dyDescent="0.3">
      <c r="A1846" t="s">
        <v>143</v>
      </c>
      <c r="B1846" t="s">
        <v>122</v>
      </c>
      <c r="C1846">
        <v>2025</v>
      </c>
      <c r="D1846" s="4">
        <v>4690.22</v>
      </c>
      <c r="E1846" s="26">
        <v>45875</v>
      </c>
      <c r="F1846" s="5"/>
    </row>
    <row r="1847" spans="1:6" x14ac:dyDescent="0.3">
      <c r="A1847" t="s">
        <v>142</v>
      </c>
      <c r="B1847" t="s">
        <v>120</v>
      </c>
      <c r="C1847">
        <v>2025</v>
      </c>
      <c r="D1847" s="4">
        <v>2631.2</v>
      </c>
      <c r="E1847" s="26">
        <v>45838</v>
      </c>
      <c r="F1847" s="5"/>
    </row>
    <row r="1848" spans="1:6" x14ac:dyDescent="0.3">
      <c r="A1848" t="s">
        <v>155</v>
      </c>
      <c r="B1848" t="s">
        <v>128</v>
      </c>
      <c r="C1848">
        <v>2023</v>
      </c>
      <c r="D1848" s="4">
        <v>8455.98</v>
      </c>
      <c r="E1848" s="26">
        <v>45069</v>
      </c>
      <c r="F1848" s="5"/>
    </row>
    <row r="1849" spans="1:6" x14ac:dyDescent="0.3">
      <c r="A1849" t="s">
        <v>143</v>
      </c>
      <c r="B1849" t="s">
        <v>122</v>
      </c>
      <c r="C1849">
        <v>2025</v>
      </c>
      <c r="D1849" s="4">
        <v>4718.2299999999996</v>
      </c>
      <c r="E1849" s="26">
        <v>45703</v>
      </c>
      <c r="F1849" s="5"/>
    </row>
    <row r="1850" spans="1:6" x14ac:dyDescent="0.3">
      <c r="A1850" t="s">
        <v>115</v>
      </c>
      <c r="B1850" t="s">
        <v>116</v>
      </c>
      <c r="C1850">
        <v>2023</v>
      </c>
      <c r="D1850" s="4">
        <v>3203.04</v>
      </c>
      <c r="E1850" s="26">
        <v>45112</v>
      </c>
      <c r="F1850" s="5"/>
    </row>
    <row r="1851" spans="1:6" x14ac:dyDescent="0.3">
      <c r="A1851" t="s">
        <v>137</v>
      </c>
      <c r="B1851" t="s">
        <v>128</v>
      </c>
      <c r="C1851">
        <v>2023</v>
      </c>
      <c r="D1851" s="4">
        <v>10647.67</v>
      </c>
      <c r="E1851" s="26">
        <v>44927</v>
      </c>
      <c r="F1851" s="5"/>
    </row>
    <row r="1852" spans="1:6" x14ac:dyDescent="0.3">
      <c r="A1852" t="s">
        <v>146</v>
      </c>
      <c r="B1852" t="s">
        <v>128</v>
      </c>
      <c r="C1852">
        <v>2025</v>
      </c>
      <c r="D1852" s="4">
        <v>7531.33</v>
      </c>
      <c r="E1852" s="26">
        <v>45854</v>
      </c>
      <c r="F1852" s="5"/>
    </row>
    <row r="1853" spans="1:6" x14ac:dyDescent="0.3">
      <c r="A1853" t="s">
        <v>127</v>
      </c>
      <c r="B1853" t="s">
        <v>128</v>
      </c>
      <c r="C1853">
        <v>2025</v>
      </c>
      <c r="D1853" s="4">
        <v>2900.2</v>
      </c>
      <c r="E1853" s="26">
        <v>45842</v>
      </c>
      <c r="F1853" s="5"/>
    </row>
    <row r="1854" spans="1:6" x14ac:dyDescent="0.3">
      <c r="A1854" t="s">
        <v>136</v>
      </c>
      <c r="B1854" t="s">
        <v>120</v>
      </c>
      <c r="C1854">
        <v>2024</v>
      </c>
      <c r="D1854" s="4">
        <v>8069.81</v>
      </c>
      <c r="E1854" s="26">
        <v>45540</v>
      </c>
      <c r="F1854" s="5"/>
    </row>
    <row r="1855" spans="1:6" x14ac:dyDescent="0.3">
      <c r="A1855" t="s">
        <v>149</v>
      </c>
      <c r="B1855" t="s">
        <v>122</v>
      </c>
      <c r="C1855">
        <v>2025</v>
      </c>
      <c r="D1855" s="4">
        <v>10105.52</v>
      </c>
      <c r="E1855" s="26">
        <v>45817</v>
      </c>
      <c r="F1855" s="5"/>
    </row>
    <row r="1856" spans="1:6" x14ac:dyDescent="0.3">
      <c r="A1856" t="s">
        <v>139</v>
      </c>
      <c r="B1856" t="s">
        <v>120</v>
      </c>
      <c r="C1856">
        <v>2023</v>
      </c>
      <c r="D1856" s="4">
        <v>8241.6299999999992</v>
      </c>
      <c r="E1856" s="26">
        <v>45109</v>
      </c>
      <c r="F1856" s="5"/>
    </row>
    <row r="1857" spans="1:6" x14ac:dyDescent="0.3">
      <c r="A1857" t="s">
        <v>153</v>
      </c>
      <c r="B1857" t="s">
        <v>122</v>
      </c>
      <c r="C1857">
        <v>2025</v>
      </c>
      <c r="D1857" s="4">
        <v>5777.92</v>
      </c>
      <c r="E1857" s="26">
        <v>45972</v>
      </c>
      <c r="F1857" s="5"/>
    </row>
    <row r="1858" spans="1:6" x14ac:dyDescent="0.3">
      <c r="A1858" t="s">
        <v>137</v>
      </c>
      <c r="B1858" t="s">
        <v>128</v>
      </c>
      <c r="C1858">
        <v>2024</v>
      </c>
      <c r="D1858" s="4">
        <v>1061.27</v>
      </c>
      <c r="E1858" s="26">
        <v>45529</v>
      </c>
      <c r="F1858" s="5"/>
    </row>
    <row r="1859" spans="1:6" x14ac:dyDescent="0.3">
      <c r="A1859" t="s">
        <v>123</v>
      </c>
      <c r="B1859" t="s">
        <v>120</v>
      </c>
      <c r="C1859">
        <v>2023</v>
      </c>
      <c r="D1859" s="4">
        <v>211.64</v>
      </c>
      <c r="E1859" s="26">
        <v>45035</v>
      </c>
      <c r="F1859" s="5"/>
    </row>
    <row r="1860" spans="1:6" x14ac:dyDescent="0.3">
      <c r="A1860" t="s">
        <v>123</v>
      </c>
      <c r="B1860" t="s">
        <v>120</v>
      </c>
      <c r="C1860">
        <v>2025</v>
      </c>
      <c r="D1860" s="4">
        <v>1713.84</v>
      </c>
      <c r="E1860" s="26">
        <v>45662</v>
      </c>
      <c r="F1860" s="5"/>
    </row>
    <row r="1861" spans="1:6" x14ac:dyDescent="0.3">
      <c r="A1861" t="s">
        <v>130</v>
      </c>
      <c r="B1861" t="s">
        <v>116</v>
      </c>
      <c r="C1861">
        <v>2023</v>
      </c>
      <c r="D1861" s="4">
        <v>3446.33</v>
      </c>
      <c r="E1861" s="26">
        <v>44990</v>
      </c>
      <c r="F1861" s="5"/>
    </row>
    <row r="1862" spans="1:6" x14ac:dyDescent="0.3">
      <c r="A1862" t="s">
        <v>131</v>
      </c>
      <c r="B1862" t="s">
        <v>122</v>
      </c>
      <c r="C1862">
        <v>2025</v>
      </c>
      <c r="D1862" s="4">
        <v>8827.9599999999991</v>
      </c>
      <c r="E1862" s="26">
        <v>45734</v>
      </c>
      <c r="F1862" s="5"/>
    </row>
    <row r="1863" spans="1:6" x14ac:dyDescent="0.3">
      <c r="A1863" t="s">
        <v>127</v>
      </c>
      <c r="B1863" t="s">
        <v>128</v>
      </c>
      <c r="C1863">
        <v>2025</v>
      </c>
      <c r="D1863" s="4">
        <v>5465.6</v>
      </c>
      <c r="E1863" s="26">
        <v>45758</v>
      </c>
      <c r="F1863" s="5"/>
    </row>
    <row r="1864" spans="1:6" x14ac:dyDescent="0.3">
      <c r="A1864" t="s">
        <v>124</v>
      </c>
      <c r="B1864" t="s">
        <v>120</v>
      </c>
      <c r="C1864">
        <v>2024</v>
      </c>
      <c r="D1864" s="4">
        <v>9342.33</v>
      </c>
      <c r="E1864" s="26">
        <v>45359</v>
      </c>
      <c r="F1864" s="5"/>
    </row>
    <row r="1865" spans="1:6" x14ac:dyDescent="0.3">
      <c r="A1865" t="s">
        <v>126</v>
      </c>
      <c r="B1865" t="s">
        <v>116</v>
      </c>
      <c r="C1865">
        <v>2023</v>
      </c>
      <c r="D1865" s="4">
        <v>2797.53</v>
      </c>
      <c r="E1865" s="26">
        <v>45211</v>
      </c>
      <c r="F1865" s="5"/>
    </row>
    <row r="1866" spans="1:6" x14ac:dyDescent="0.3">
      <c r="A1866" t="s">
        <v>127</v>
      </c>
      <c r="B1866" t="s">
        <v>128</v>
      </c>
      <c r="C1866">
        <v>2025</v>
      </c>
      <c r="D1866" s="4">
        <v>11791.49</v>
      </c>
      <c r="E1866" s="26">
        <v>45664</v>
      </c>
      <c r="F1866" s="5"/>
    </row>
    <row r="1867" spans="1:6" x14ac:dyDescent="0.3">
      <c r="A1867" t="s">
        <v>146</v>
      </c>
      <c r="B1867" t="s">
        <v>128</v>
      </c>
      <c r="C1867">
        <v>2024</v>
      </c>
      <c r="D1867" s="4">
        <v>13964.89</v>
      </c>
      <c r="E1867" s="26">
        <v>45517</v>
      </c>
      <c r="F1867" s="5"/>
    </row>
    <row r="1868" spans="1:6" x14ac:dyDescent="0.3">
      <c r="A1868" t="s">
        <v>137</v>
      </c>
      <c r="B1868" t="s">
        <v>128</v>
      </c>
      <c r="C1868">
        <v>2023</v>
      </c>
      <c r="D1868" s="4">
        <v>360.12</v>
      </c>
      <c r="E1868" s="26">
        <v>45202</v>
      </c>
      <c r="F1868" s="5"/>
    </row>
    <row r="1869" spans="1:6" x14ac:dyDescent="0.3">
      <c r="A1869" t="s">
        <v>159</v>
      </c>
      <c r="B1869" t="s">
        <v>116</v>
      </c>
      <c r="C1869">
        <v>2023</v>
      </c>
      <c r="D1869" s="4">
        <v>10154.48</v>
      </c>
      <c r="E1869" s="26">
        <v>45221</v>
      </c>
      <c r="F1869" s="5"/>
    </row>
    <row r="1870" spans="1:6" x14ac:dyDescent="0.3">
      <c r="A1870" t="s">
        <v>156</v>
      </c>
      <c r="B1870" t="s">
        <v>128</v>
      </c>
      <c r="C1870">
        <v>2025</v>
      </c>
      <c r="D1870" s="4">
        <v>13654.66</v>
      </c>
      <c r="E1870" s="26">
        <v>45821</v>
      </c>
      <c r="F1870" s="5"/>
    </row>
    <row r="1871" spans="1:6" x14ac:dyDescent="0.3">
      <c r="A1871" t="s">
        <v>137</v>
      </c>
      <c r="B1871" t="s">
        <v>128</v>
      </c>
      <c r="C1871">
        <v>2023</v>
      </c>
      <c r="D1871" s="4">
        <v>2093.64</v>
      </c>
      <c r="E1871" s="26">
        <v>45100</v>
      </c>
      <c r="F1871" s="5"/>
    </row>
    <row r="1872" spans="1:6" x14ac:dyDescent="0.3">
      <c r="A1872" t="s">
        <v>148</v>
      </c>
      <c r="B1872" t="s">
        <v>120</v>
      </c>
      <c r="C1872">
        <v>2025</v>
      </c>
      <c r="D1872" s="4">
        <v>12531.44</v>
      </c>
      <c r="E1872" s="26">
        <v>45860</v>
      </c>
      <c r="F1872" s="5"/>
    </row>
    <row r="1873" spans="1:6" x14ac:dyDescent="0.3">
      <c r="A1873" t="s">
        <v>143</v>
      </c>
      <c r="B1873" t="s">
        <v>122</v>
      </c>
      <c r="C1873">
        <v>2025</v>
      </c>
      <c r="D1873" s="4">
        <v>8800.83</v>
      </c>
      <c r="E1873" s="26">
        <v>45798</v>
      </c>
      <c r="F1873" s="5"/>
    </row>
    <row r="1874" spans="1:6" x14ac:dyDescent="0.3">
      <c r="A1874" t="s">
        <v>129</v>
      </c>
      <c r="B1874" t="s">
        <v>120</v>
      </c>
      <c r="C1874">
        <v>2025</v>
      </c>
      <c r="D1874" s="4">
        <v>6052.92</v>
      </c>
      <c r="E1874" s="26">
        <v>45970</v>
      </c>
      <c r="F1874" s="5"/>
    </row>
    <row r="1875" spans="1:6" x14ac:dyDescent="0.3">
      <c r="A1875" t="s">
        <v>151</v>
      </c>
      <c r="B1875" t="s">
        <v>120</v>
      </c>
      <c r="C1875">
        <v>2025</v>
      </c>
      <c r="D1875" s="4">
        <v>5103.24</v>
      </c>
      <c r="E1875" s="26">
        <v>45714</v>
      </c>
      <c r="F1875" s="5"/>
    </row>
    <row r="1876" spans="1:6" x14ac:dyDescent="0.3">
      <c r="A1876" t="s">
        <v>119</v>
      </c>
      <c r="B1876" t="s">
        <v>120</v>
      </c>
      <c r="C1876">
        <v>2025</v>
      </c>
      <c r="D1876" s="4">
        <v>8543.11</v>
      </c>
      <c r="E1876" s="26">
        <v>45796</v>
      </c>
      <c r="F1876" s="5"/>
    </row>
    <row r="1877" spans="1:6" x14ac:dyDescent="0.3">
      <c r="A1877" t="s">
        <v>133</v>
      </c>
      <c r="B1877" t="s">
        <v>128</v>
      </c>
      <c r="C1877">
        <v>2025</v>
      </c>
      <c r="D1877" s="4">
        <v>11885.89</v>
      </c>
      <c r="E1877" s="26">
        <v>45947</v>
      </c>
      <c r="F1877" s="5"/>
    </row>
    <row r="1878" spans="1:6" x14ac:dyDescent="0.3">
      <c r="A1878" t="s">
        <v>125</v>
      </c>
      <c r="B1878" t="s">
        <v>122</v>
      </c>
      <c r="C1878">
        <v>2025</v>
      </c>
      <c r="D1878" s="4">
        <v>3915.66</v>
      </c>
      <c r="E1878" s="26">
        <v>45954</v>
      </c>
      <c r="F1878" s="5"/>
    </row>
    <row r="1879" spans="1:6" x14ac:dyDescent="0.3">
      <c r="A1879" t="s">
        <v>124</v>
      </c>
      <c r="B1879" t="s">
        <v>120</v>
      </c>
      <c r="C1879">
        <v>2025</v>
      </c>
      <c r="D1879" s="4">
        <v>661.77</v>
      </c>
      <c r="E1879" s="26">
        <v>45678</v>
      </c>
      <c r="F1879" s="5"/>
    </row>
    <row r="1880" spans="1:6" x14ac:dyDescent="0.3">
      <c r="A1880" t="s">
        <v>134</v>
      </c>
      <c r="B1880" t="s">
        <v>120</v>
      </c>
      <c r="C1880">
        <v>2025</v>
      </c>
      <c r="D1880" s="4">
        <v>9927.3799999999992</v>
      </c>
      <c r="E1880" s="26">
        <v>45916</v>
      </c>
      <c r="F1880" s="5"/>
    </row>
    <row r="1881" spans="1:6" x14ac:dyDescent="0.3">
      <c r="A1881" t="s">
        <v>145</v>
      </c>
      <c r="B1881" t="s">
        <v>120</v>
      </c>
      <c r="C1881">
        <v>2025</v>
      </c>
      <c r="D1881" s="4">
        <v>13471.98</v>
      </c>
      <c r="E1881" s="26">
        <v>45913</v>
      </c>
      <c r="F1881" s="5"/>
    </row>
    <row r="1882" spans="1:6" x14ac:dyDescent="0.3">
      <c r="A1882" t="s">
        <v>158</v>
      </c>
      <c r="B1882" t="s">
        <v>120</v>
      </c>
      <c r="C1882">
        <v>2023</v>
      </c>
      <c r="D1882" s="4">
        <v>10276.56</v>
      </c>
      <c r="E1882" s="26">
        <v>45217</v>
      </c>
      <c r="F1882" s="5"/>
    </row>
    <row r="1883" spans="1:6" x14ac:dyDescent="0.3">
      <c r="A1883" t="s">
        <v>141</v>
      </c>
      <c r="B1883" t="s">
        <v>116</v>
      </c>
      <c r="C1883">
        <v>2024</v>
      </c>
      <c r="D1883" s="4">
        <v>6616.12</v>
      </c>
      <c r="E1883" s="26">
        <v>45499</v>
      </c>
      <c r="F1883" s="5"/>
    </row>
    <row r="1884" spans="1:6" x14ac:dyDescent="0.3">
      <c r="A1884" t="s">
        <v>158</v>
      </c>
      <c r="B1884" t="s">
        <v>120</v>
      </c>
      <c r="C1884">
        <v>2025</v>
      </c>
      <c r="D1884" s="4">
        <v>12480.83</v>
      </c>
      <c r="E1884" s="26">
        <v>45998</v>
      </c>
      <c r="F1884" s="5"/>
    </row>
    <row r="1885" spans="1:6" x14ac:dyDescent="0.3">
      <c r="A1885" t="s">
        <v>158</v>
      </c>
      <c r="B1885" t="s">
        <v>120</v>
      </c>
      <c r="C1885">
        <v>2024</v>
      </c>
      <c r="D1885" s="4">
        <v>6719.83</v>
      </c>
      <c r="E1885" s="26">
        <v>45429</v>
      </c>
      <c r="F1885" s="5"/>
    </row>
    <row r="1886" spans="1:6" x14ac:dyDescent="0.3">
      <c r="A1886" t="s">
        <v>121</v>
      </c>
      <c r="B1886" t="s">
        <v>122</v>
      </c>
      <c r="C1886">
        <v>2024</v>
      </c>
      <c r="D1886" s="4">
        <v>8659.94</v>
      </c>
      <c r="E1886" s="26">
        <v>45566</v>
      </c>
      <c r="F1886" s="5"/>
    </row>
    <row r="1887" spans="1:6" x14ac:dyDescent="0.3">
      <c r="A1887" t="s">
        <v>117</v>
      </c>
      <c r="B1887" t="s">
        <v>116</v>
      </c>
      <c r="C1887">
        <v>2025</v>
      </c>
      <c r="D1887" s="4">
        <v>10943.67</v>
      </c>
      <c r="E1887" s="26">
        <v>46022</v>
      </c>
      <c r="F1887" s="5"/>
    </row>
    <row r="1888" spans="1:6" x14ac:dyDescent="0.3">
      <c r="A1888" t="s">
        <v>126</v>
      </c>
      <c r="B1888" t="s">
        <v>116</v>
      </c>
      <c r="C1888">
        <v>2025</v>
      </c>
      <c r="D1888" s="4">
        <v>7274.75</v>
      </c>
      <c r="E1888" s="26">
        <v>45856</v>
      </c>
      <c r="F1888" s="5"/>
    </row>
    <row r="1889" spans="1:6" x14ac:dyDescent="0.3">
      <c r="A1889" t="s">
        <v>126</v>
      </c>
      <c r="B1889" t="s">
        <v>116</v>
      </c>
      <c r="C1889">
        <v>2024</v>
      </c>
      <c r="D1889" s="4">
        <v>6010.02</v>
      </c>
      <c r="E1889" s="26">
        <v>45605</v>
      </c>
      <c r="F1889" s="5"/>
    </row>
    <row r="1890" spans="1:6" x14ac:dyDescent="0.3">
      <c r="A1890" t="s">
        <v>130</v>
      </c>
      <c r="B1890" t="s">
        <v>116</v>
      </c>
      <c r="C1890">
        <v>2024</v>
      </c>
      <c r="D1890" s="4">
        <v>2511.61</v>
      </c>
      <c r="E1890" s="26">
        <v>45519</v>
      </c>
      <c r="F1890" s="5"/>
    </row>
    <row r="1891" spans="1:6" x14ac:dyDescent="0.3">
      <c r="A1891" t="s">
        <v>143</v>
      </c>
      <c r="B1891" t="s">
        <v>122</v>
      </c>
      <c r="C1891">
        <v>2024</v>
      </c>
      <c r="D1891" s="4">
        <v>10232.209999999999</v>
      </c>
      <c r="E1891" s="26">
        <v>45549</v>
      </c>
      <c r="F1891" s="5"/>
    </row>
    <row r="1892" spans="1:6" x14ac:dyDescent="0.3">
      <c r="A1892" t="s">
        <v>133</v>
      </c>
      <c r="B1892" t="s">
        <v>128</v>
      </c>
      <c r="C1892">
        <v>2024</v>
      </c>
      <c r="D1892" s="4">
        <v>1047.57</v>
      </c>
      <c r="E1892" s="26">
        <v>45460</v>
      </c>
      <c r="F1892" s="5"/>
    </row>
    <row r="1893" spans="1:6" x14ac:dyDescent="0.3">
      <c r="A1893" t="s">
        <v>126</v>
      </c>
      <c r="B1893" t="s">
        <v>116</v>
      </c>
      <c r="C1893">
        <v>2023</v>
      </c>
      <c r="D1893" s="4">
        <v>8105.47</v>
      </c>
      <c r="E1893" s="26">
        <v>45273</v>
      </c>
      <c r="F1893" s="5"/>
    </row>
    <row r="1894" spans="1:6" x14ac:dyDescent="0.3">
      <c r="A1894" t="s">
        <v>130</v>
      </c>
      <c r="B1894" t="s">
        <v>116</v>
      </c>
      <c r="C1894">
        <v>2023</v>
      </c>
      <c r="D1894" s="4">
        <v>4158.0600000000004</v>
      </c>
      <c r="E1894" s="26">
        <v>44982</v>
      </c>
      <c r="F1894" s="5"/>
    </row>
    <row r="1895" spans="1:6" x14ac:dyDescent="0.3">
      <c r="A1895" t="s">
        <v>158</v>
      </c>
      <c r="B1895" t="s">
        <v>120</v>
      </c>
      <c r="C1895">
        <v>2023</v>
      </c>
      <c r="D1895" s="4">
        <v>7177.23</v>
      </c>
      <c r="E1895" s="26">
        <v>45186</v>
      </c>
      <c r="F1895" s="5"/>
    </row>
    <row r="1896" spans="1:6" x14ac:dyDescent="0.3">
      <c r="A1896" t="s">
        <v>154</v>
      </c>
      <c r="B1896" t="s">
        <v>128</v>
      </c>
      <c r="C1896">
        <v>2024</v>
      </c>
      <c r="D1896" s="4">
        <v>2029.03</v>
      </c>
      <c r="E1896" s="26">
        <v>45443</v>
      </c>
      <c r="F1896" s="5"/>
    </row>
    <row r="1897" spans="1:6" x14ac:dyDescent="0.3">
      <c r="A1897" t="s">
        <v>154</v>
      </c>
      <c r="B1897" t="s">
        <v>128</v>
      </c>
      <c r="C1897">
        <v>2024</v>
      </c>
      <c r="D1897" s="4">
        <v>12038.45</v>
      </c>
      <c r="E1897" s="26">
        <v>45490</v>
      </c>
      <c r="F1897" s="5"/>
    </row>
    <row r="1898" spans="1:6" x14ac:dyDescent="0.3">
      <c r="A1898" t="s">
        <v>150</v>
      </c>
      <c r="B1898" t="s">
        <v>116</v>
      </c>
      <c r="C1898">
        <v>2023</v>
      </c>
      <c r="D1898" s="4">
        <v>8532.74</v>
      </c>
      <c r="E1898" s="26">
        <v>45155</v>
      </c>
      <c r="F1898" s="5"/>
    </row>
    <row r="1899" spans="1:6" x14ac:dyDescent="0.3">
      <c r="A1899" t="s">
        <v>131</v>
      </c>
      <c r="B1899" t="s">
        <v>122</v>
      </c>
      <c r="C1899">
        <v>2023</v>
      </c>
      <c r="D1899" s="4">
        <v>9296.35</v>
      </c>
      <c r="E1899" s="26">
        <v>45236</v>
      </c>
      <c r="F1899" s="5"/>
    </row>
    <row r="1900" spans="1:6" x14ac:dyDescent="0.3">
      <c r="A1900" t="s">
        <v>140</v>
      </c>
      <c r="B1900" t="s">
        <v>128</v>
      </c>
      <c r="C1900">
        <v>2023</v>
      </c>
      <c r="D1900" s="4">
        <v>3805.29</v>
      </c>
      <c r="E1900" s="26">
        <v>45286</v>
      </c>
      <c r="F1900" s="5"/>
    </row>
    <row r="1901" spans="1:6" x14ac:dyDescent="0.3">
      <c r="A1901" t="s">
        <v>125</v>
      </c>
      <c r="B1901" t="s">
        <v>122</v>
      </c>
      <c r="C1901">
        <v>2025</v>
      </c>
      <c r="D1901" s="4">
        <v>2695.17</v>
      </c>
      <c r="E1901" s="26">
        <v>45920</v>
      </c>
      <c r="F1901" s="5"/>
    </row>
    <row r="1902" spans="1:6" x14ac:dyDescent="0.3">
      <c r="A1902" t="s">
        <v>141</v>
      </c>
      <c r="B1902" t="s">
        <v>116</v>
      </c>
      <c r="C1902">
        <v>2023</v>
      </c>
      <c r="D1902" s="4">
        <v>4931.3</v>
      </c>
      <c r="E1902" s="26">
        <v>44994</v>
      </c>
      <c r="F1902" s="5"/>
    </row>
    <row r="1903" spans="1:6" x14ac:dyDescent="0.3">
      <c r="A1903" t="s">
        <v>158</v>
      </c>
      <c r="B1903" t="s">
        <v>120</v>
      </c>
      <c r="C1903">
        <v>2023</v>
      </c>
      <c r="D1903" s="4">
        <v>8418.51</v>
      </c>
      <c r="E1903" s="26">
        <v>45224</v>
      </c>
      <c r="F1903" s="5"/>
    </row>
    <row r="1904" spans="1:6" x14ac:dyDescent="0.3">
      <c r="A1904" t="s">
        <v>146</v>
      </c>
      <c r="B1904" t="s">
        <v>128</v>
      </c>
      <c r="C1904">
        <v>2025</v>
      </c>
      <c r="D1904" s="4">
        <v>10588.11</v>
      </c>
      <c r="E1904" s="26">
        <v>45942</v>
      </c>
      <c r="F1904" s="5"/>
    </row>
    <row r="1905" spans="1:6" x14ac:dyDescent="0.3">
      <c r="A1905" t="s">
        <v>148</v>
      </c>
      <c r="B1905" t="s">
        <v>120</v>
      </c>
      <c r="C1905">
        <v>2025</v>
      </c>
      <c r="D1905" s="4">
        <v>3483.67</v>
      </c>
      <c r="E1905" s="26">
        <v>45711</v>
      </c>
      <c r="F1905" s="5"/>
    </row>
    <row r="1906" spans="1:6" x14ac:dyDescent="0.3">
      <c r="A1906" t="s">
        <v>151</v>
      </c>
      <c r="B1906" t="s">
        <v>120</v>
      </c>
      <c r="C1906">
        <v>2023</v>
      </c>
      <c r="D1906" s="4">
        <v>3109.82</v>
      </c>
      <c r="E1906" s="26">
        <v>45269</v>
      </c>
      <c r="F1906" s="5"/>
    </row>
    <row r="1907" spans="1:6" x14ac:dyDescent="0.3">
      <c r="A1907" t="s">
        <v>139</v>
      </c>
      <c r="B1907" t="s">
        <v>120</v>
      </c>
      <c r="C1907">
        <v>2023</v>
      </c>
      <c r="D1907" s="4">
        <v>9063.2000000000007</v>
      </c>
      <c r="E1907" s="26">
        <v>45038</v>
      </c>
      <c r="F1907" s="5"/>
    </row>
    <row r="1908" spans="1:6" x14ac:dyDescent="0.3">
      <c r="A1908" t="s">
        <v>145</v>
      </c>
      <c r="B1908" t="s">
        <v>120</v>
      </c>
      <c r="C1908">
        <v>2023</v>
      </c>
      <c r="D1908" s="4">
        <v>2512.89</v>
      </c>
      <c r="E1908" s="26">
        <v>45034</v>
      </c>
      <c r="F1908" s="5"/>
    </row>
    <row r="1909" spans="1:6" x14ac:dyDescent="0.3">
      <c r="A1909" t="s">
        <v>155</v>
      </c>
      <c r="B1909" t="s">
        <v>128</v>
      </c>
      <c r="C1909">
        <v>2025</v>
      </c>
      <c r="D1909" s="4">
        <v>4358.87</v>
      </c>
      <c r="E1909" s="26">
        <v>45902</v>
      </c>
      <c r="F1909" s="5"/>
    </row>
    <row r="1910" spans="1:6" x14ac:dyDescent="0.3">
      <c r="A1910" t="s">
        <v>124</v>
      </c>
      <c r="B1910" t="s">
        <v>120</v>
      </c>
      <c r="C1910">
        <v>2024</v>
      </c>
      <c r="D1910" s="4">
        <v>5441.25</v>
      </c>
      <c r="E1910" s="26">
        <v>45405</v>
      </c>
      <c r="F1910" s="5"/>
    </row>
    <row r="1911" spans="1:6" x14ac:dyDescent="0.3">
      <c r="A1911" t="s">
        <v>127</v>
      </c>
      <c r="B1911" t="s">
        <v>128</v>
      </c>
      <c r="C1911">
        <v>2025</v>
      </c>
      <c r="D1911" s="4">
        <v>3824.23</v>
      </c>
      <c r="E1911" s="26">
        <v>45898</v>
      </c>
      <c r="F1911" s="5"/>
    </row>
    <row r="1912" spans="1:6" x14ac:dyDescent="0.3">
      <c r="A1912" t="s">
        <v>141</v>
      </c>
      <c r="B1912" t="s">
        <v>116</v>
      </c>
      <c r="C1912">
        <v>2025</v>
      </c>
      <c r="D1912" s="4">
        <v>363.71</v>
      </c>
      <c r="E1912" s="26">
        <v>45817</v>
      </c>
      <c r="F1912" s="5"/>
    </row>
    <row r="1913" spans="1:6" x14ac:dyDescent="0.3">
      <c r="A1913" t="s">
        <v>151</v>
      </c>
      <c r="B1913" t="s">
        <v>120</v>
      </c>
      <c r="C1913">
        <v>2025</v>
      </c>
      <c r="D1913" s="4">
        <v>9563.2099999999991</v>
      </c>
      <c r="E1913" s="26">
        <v>45709</v>
      </c>
      <c r="F1913" s="5"/>
    </row>
    <row r="1914" spans="1:6" x14ac:dyDescent="0.3">
      <c r="A1914" t="s">
        <v>141</v>
      </c>
      <c r="B1914" t="s">
        <v>116</v>
      </c>
      <c r="C1914">
        <v>2023</v>
      </c>
      <c r="D1914" s="4">
        <v>1543.63</v>
      </c>
      <c r="E1914" s="26">
        <v>45011</v>
      </c>
      <c r="F1914" s="5"/>
    </row>
    <row r="1915" spans="1:6" x14ac:dyDescent="0.3">
      <c r="A1915" t="s">
        <v>124</v>
      </c>
      <c r="B1915" t="s">
        <v>120</v>
      </c>
      <c r="C1915">
        <v>2024</v>
      </c>
      <c r="D1915" s="4">
        <v>13395.33</v>
      </c>
      <c r="E1915" s="26">
        <v>45651</v>
      </c>
      <c r="F1915" s="5"/>
    </row>
    <row r="1916" spans="1:6" x14ac:dyDescent="0.3">
      <c r="A1916" t="s">
        <v>144</v>
      </c>
      <c r="B1916" t="s">
        <v>116</v>
      </c>
      <c r="C1916">
        <v>2024</v>
      </c>
      <c r="D1916" s="4">
        <v>4822.55</v>
      </c>
      <c r="E1916" s="26">
        <v>45485</v>
      </c>
      <c r="F1916" s="5"/>
    </row>
    <row r="1917" spans="1:6" x14ac:dyDescent="0.3">
      <c r="A1917" t="s">
        <v>154</v>
      </c>
      <c r="B1917" t="s">
        <v>128</v>
      </c>
      <c r="C1917">
        <v>2023</v>
      </c>
      <c r="D1917" s="4">
        <v>3723.75</v>
      </c>
      <c r="E1917" s="26">
        <v>45128</v>
      </c>
      <c r="F1917" s="5"/>
    </row>
    <row r="1918" spans="1:6" x14ac:dyDescent="0.3">
      <c r="A1918" t="s">
        <v>131</v>
      </c>
      <c r="B1918" t="s">
        <v>122</v>
      </c>
      <c r="C1918">
        <v>2025</v>
      </c>
      <c r="D1918" s="4">
        <v>6563.3</v>
      </c>
      <c r="E1918" s="26">
        <v>45728</v>
      </c>
      <c r="F1918" s="5"/>
    </row>
    <row r="1919" spans="1:6" x14ac:dyDescent="0.3">
      <c r="A1919" t="s">
        <v>125</v>
      </c>
      <c r="B1919" t="s">
        <v>122</v>
      </c>
      <c r="C1919">
        <v>2024</v>
      </c>
      <c r="D1919" s="4">
        <v>7375.34</v>
      </c>
      <c r="E1919" s="26">
        <v>45326</v>
      </c>
      <c r="F1919" s="5"/>
    </row>
    <row r="1920" spans="1:6" x14ac:dyDescent="0.3">
      <c r="A1920" t="s">
        <v>119</v>
      </c>
      <c r="B1920" t="s">
        <v>120</v>
      </c>
      <c r="C1920">
        <v>2024</v>
      </c>
      <c r="D1920" s="4">
        <v>7757.05</v>
      </c>
      <c r="E1920" s="26">
        <v>45568</v>
      </c>
      <c r="F1920" s="5"/>
    </row>
    <row r="1921" spans="1:6" x14ac:dyDescent="0.3">
      <c r="A1921" t="s">
        <v>150</v>
      </c>
      <c r="B1921" t="s">
        <v>116</v>
      </c>
      <c r="C1921">
        <v>2023</v>
      </c>
      <c r="D1921" s="4">
        <v>365.07</v>
      </c>
      <c r="E1921" s="26">
        <v>45066</v>
      </c>
      <c r="F1921" s="5"/>
    </row>
    <row r="1922" spans="1:6" x14ac:dyDescent="0.3">
      <c r="A1922" t="s">
        <v>142</v>
      </c>
      <c r="B1922" t="s">
        <v>120</v>
      </c>
      <c r="C1922">
        <v>2025</v>
      </c>
      <c r="D1922" s="4">
        <v>1633.92</v>
      </c>
      <c r="E1922" s="26">
        <v>46002</v>
      </c>
      <c r="F1922" s="5"/>
    </row>
    <row r="1923" spans="1:6" x14ac:dyDescent="0.3">
      <c r="A1923" t="s">
        <v>151</v>
      </c>
      <c r="B1923" t="s">
        <v>120</v>
      </c>
      <c r="C1923">
        <v>2024</v>
      </c>
      <c r="D1923" s="4">
        <v>3227.95</v>
      </c>
      <c r="E1923" s="26">
        <v>45646</v>
      </c>
      <c r="F1923" s="5"/>
    </row>
    <row r="1924" spans="1:6" x14ac:dyDescent="0.3">
      <c r="A1924" t="s">
        <v>130</v>
      </c>
      <c r="B1924" t="s">
        <v>116</v>
      </c>
      <c r="C1924">
        <v>2024</v>
      </c>
      <c r="D1924" s="4">
        <v>2864.5</v>
      </c>
      <c r="E1924" s="26">
        <v>45442</v>
      </c>
      <c r="F1924" s="5"/>
    </row>
    <row r="1925" spans="1:6" x14ac:dyDescent="0.3">
      <c r="A1925" t="s">
        <v>159</v>
      </c>
      <c r="B1925" t="s">
        <v>116</v>
      </c>
      <c r="C1925">
        <v>2023</v>
      </c>
      <c r="D1925" s="4">
        <v>984.97</v>
      </c>
      <c r="E1925" s="26">
        <v>45115</v>
      </c>
      <c r="F1925" s="5"/>
    </row>
    <row r="1926" spans="1:6" x14ac:dyDescent="0.3">
      <c r="A1926" t="s">
        <v>143</v>
      </c>
      <c r="B1926" t="s">
        <v>122</v>
      </c>
      <c r="C1926">
        <v>2024</v>
      </c>
      <c r="D1926" s="4">
        <v>13316.75</v>
      </c>
      <c r="E1926" s="26">
        <v>45371</v>
      </c>
      <c r="F1926" s="5"/>
    </row>
    <row r="1927" spans="1:6" x14ac:dyDescent="0.3">
      <c r="A1927" t="s">
        <v>145</v>
      </c>
      <c r="B1927" t="s">
        <v>120</v>
      </c>
      <c r="C1927">
        <v>2023</v>
      </c>
      <c r="D1927" s="4">
        <v>1392.13</v>
      </c>
      <c r="E1927" s="26">
        <v>45172</v>
      </c>
      <c r="F1927" s="5"/>
    </row>
    <row r="1928" spans="1:6" x14ac:dyDescent="0.3">
      <c r="A1928" t="s">
        <v>143</v>
      </c>
      <c r="B1928" t="s">
        <v>122</v>
      </c>
      <c r="C1928">
        <v>2023</v>
      </c>
      <c r="D1928" s="4">
        <v>5388.23</v>
      </c>
      <c r="E1928" s="26">
        <v>45193</v>
      </c>
      <c r="F1928" s="5"/>
    </row>
    <row r="1929" spans="1:6" x14ac:dyDescent="0.3">
      <c r="A1929" t="s">
        <v>133</v>
      </c>
      <c r="B1929" t="s">
        <v>128</v>
      </c>
      <c r="C1929">
        <v>2024</v>
      </c>
      <c r="D1929" s="4">
        <v>12564.82</v>
      </c>
      <c r="E1929" s="26">
        <v>45305</v>
      </c>
      <c r="F1929" s="5"/>
    </row>
    <row r="1930" spans="1:6" x14ac:dyDescent="0.3">
      <c r="A1930" t="s">
        <v>119</v>
      </c>
      <c r="B1930" t="s">
        <v>120</v>
      </c>
      <c r="C1930">
        <v>2024</v>
      </c>
      <c r="D1930" s="4">
        <v>4265.05</v>
      </c>
      <c r="E1930" s="26">
        <v>45445</v>
      </c>
      <c r="F1930" s="5"/>
    </row>
    <row r="1931" spans="1:6" x14ac:dyDescent="0.3">
      <c r="A1931" t="s">
        <v>121</v>
      </c>
      <c r="B1931" t="s">
        <v>122</v>
      </c>
      <c r="C1931">
        <v>2025</v>
      </c>
      <c r="D1931" s="4">
        <v>12933.2</v>
      </c>
      <c r="E1931" s="26">
        <v>45855</v>
      </c>
      <c r="F1931" s="5"/>
    </row>
    <row r="1932" spans="1:6" x14ac:dyDescent="0.3">
      <c r="A1932" t="s">
        <v>154</v>
      </c>
      <c r="B1932" t="s">
        <v>128</v>
      </c>
      <c r="C1932">
        <v>2025</v>
      </c>
      <c r="D1932" s="4">
        <v>9752.66</v>
      </c>
      <c r="E1932" s="26">
        <v>45801</v>
      </c>
      <c r="F1932" s="5"/>
    </row>
    <row r="1933" spans="1:6" x14ac:dyDescent="0.3">
      <c r="A1933" t="s">
        <v>136</v>
      </c>
      <c r="B1933" t="s">
        <v>120</v>
      </c>
      <c r="C1933">
        <v>2024</v>
      </c>
      <c r="D1933" s="4">
        <v>2435.13</v>
      </c>
      <c r="E1933" s="26">
        <v>45454</v>
      </c>
      <c r="F1933" s="5"/>
    </row>
    <row r="1934" spans="1:6" x14ac:dyDescent="0.3">
      <c r="A1934" t="s">
        <v>121</v>
      </c>
      <c r="B1934" t="s">
        <v>122</v>
      </c>
      <c r="C1934">
        <v>2024</v>
      </c>
      <c r="D1934" s="4">
        <v>10924.06</v>
      </c>
      <c r="E1934" s="26">
        <v>45494</v>
      </c>
      <c r="F1934" s="5"/>
    </row>
    <row r="1935" spans="1:6" x14ac:dyDescent="0.3">
      <c r="A1935" t="s">
        <v>127</v>
      </c>
      <c r="B1935" t="s">
        <v>128</v>
      </c>
      <c r="C1935">
        <v>2025</v>
      </c>
      <c r="D1935" s="4">
        <v>4790.6400000000003</v>
      </c>
      <c r="E1935" s="26">
        <v>45722</v>
      </c>
      <c r="F1935" s="5"/>
    </row>
    <row r="1936" spans="1:6" x14ac:dyDescent="0.3">
      <c r="A1936" t="s">
        <v>115</v>
      </c>
      <c r="B1936" t="s">
        <v>116</v>
      </c>
      <c r="C1936">
        <v>2024</v>
      </c>
      <c r="D1936" s="4">
        <v>13387.36</v>
      </c>
      <c r="E1936" s="26">
        <v>45455</v>
      </c>
      <c r="F1936" s="5"/>
    </row>
    <row r="1937" spans="1:6" x14ac:dyDescent="0.3">
      <c r="A1937" t="s">
        <v>135</v>
      </c>
      <c r="B1937" t="s">
        <v>116</v>
      </c>
      <c r="C1937">
        <v>2023</v>
      </c>
      <c r="D1937" s="4">
        <v>6279.93</v>
      </c>
      <c r="E1937" s="26">
        <v>45291</v>
      </c>
      <c r="F1937" s="5"/>
    </row>
    <row r="1938" spans="1:6" x14ac:dyDescent="0.3">
      <c r="A1938" t="s">
        <v>156</v>
      </c>
      <c r="B1938" t="s">
        <v>128</v>
      </c>
      <c r="C1938">
        <v>2024</v>
      </c>
      <c r="D1938" s="4">
        <v>8622.17</v>
      </c>
      <c r="E1938" s="26">
        <v>45337</v>
      </c>
      <c r="F1938" s="5"/>
    </row>
    <row r="1939" spans="1:6" x14ac:dyDescent="0.3">
      <c r="A1939" t="s">
        <v>119</v>
      </c>
      <c r="B1939" t="s">
        <v>120</v>
      </c>
      <c r="C1939">
        <v>2025</v>
      </c>
      <c r="D1939" s="4">
        <v>1696.34</v>
      </c>
      <c r="E1939" s="26">
        <v>45934</v>
      </c>
      <c r="F1939" s="5"/>
    </row>
    <row r="1940" spans="1:6" x14ac:dyDescent="0.3">
      <c r="A1940" t="s">
        <v>124</v>
      </c>
      <c r="B1940" t="s">
        <v>120</v>
      </c>
      <c r="C1940">
        <v>2025</v>
      </c>
      <c r="D1940" s="4">
        <v>3213.73</v>
      </c>
      <c r="E1940" s="26">
        <v>45810</v>
      </c>
      <c r="F1940" s="5"/>
    </row>
    <row r="1941" spans="1:6" x14ac:dyDescent="0.3">
      <c r="A1941" t="s">
        <v>142</v>
      </c>
      <c r="B1941" t="s">
        <v>120</v>
      </c>
      <c r="C1941">
        <v>2025</v>
      </c>
      <c r="D1941" s="4">
        <v>10072.52</v>
      </c>
      <c r="E1941" s="26">
        <v>45831</v>
      </c>
      <c r="F1941" s="5"/>
    </row>
    <row r="1942" spans="1:6" x14ac:dyDescent="0.3">
      <c r="A1942" t="s">
        <v>142</v>
      </c>
      <c r="B1942" t="s">
        <v>120</v>
      </c>
      <c r="C1942">
        <v>2023</v>
      </c>
      <c r="D1942" s="4">
        <v>1206.29</v>
      </c>
      <c r="E1942" s="26">
        <v>44998</v>
      </c>
      <c r="F1942" s="5"/>
    </row>
    <row r="1943" spans="1:6" x14ac:dyDescent="0.3">
      <c r="A1943" t="s">
        <v>133</v>
      </c>
      <c r="B1943" t="s">
        <v>128</v>
      </c>
      <c r="C1943">
        <v>2024</v>
      </c>
      <c r="D1943" s="4">
        <v>10925.87</v>
      </c>
      <c r="E1943" s="26">
        <v>45440</v>
      </c>
      <c r="F1943" s="5"/>
    </row>
    <row r="1944" spans="1:6" x14ac:dyDescent="0.3">
      <c r="A1944" t="s">
        <v>159</v>
      </c>
      <c r="B1944" t="s">
        <v>116</v>
      </c>
      <c r="C1944">
        <v>2025</v>
      </c>
      <c r="D1944" s="4">
        <v>2254.19</v>
      </c>
      <c r="E1944" s="26">
        <v>45946</v>
      </c>
      <c r="F1944" s="5"/>
    </row>
    <row r="1945" spans="1:6" x14ac:dyDescent="0.3">
      <c r="A1945" t="s">
        <v>150</v>
      </c>
      <c r="B1945" t="s">
        <v>116</v>
      </c>
      <c r="C1945">
        <v>2023</v>
      </c>
      <c r="D1945" s="4">
        <v>9371.56</v>
      </c>
      <c r="E1945" s="26">
        <v>45004</v>
      </c>
      <c r="F1945" s="5"/>
    </row>
    <row r="1946" spans="1:6" x14ac:dyDescent="0.3">
      <c r="A1946" t="s">
        <v>154</v>
      </c>
      <c r="B1946" t="s">
        <v>128</v>
      </c>
      <c r="C1946">
        <v>2023</v>
      </c>
      <c r="D1946" s="4">
        <v>9860.76</v>
      </c>
      <c r="E1946" s="26">
        <v>45237</v>
      </c>
      <c r="F1946" s="5"/>
    </row>
    <row r="1947" spans="1:6" x14ac:dyDescent="0.3">
      <c r="A1947" t="s">
        <v>155</v>
      </c>
      <c r="B1947" t="s">
        <v>128</v>
      </c>
      <c r="C1947">
        <v>2023</v>
      </c>
      <c r="D1947" s="4">
        <v>7312.29</v>
      </c>
      <c r="E1947" s="26">
        <v>44934</v>
      </c>
      <c r="F1947" s="5"/>
    </row>
    <row r="1948" spans="1:6" x14ac:dyDescent="0.3">
      <c r="A1948" t="s">
        <v>156</v>
      </c>
      <c r="B1948" t="s">
        <v>128</v>
      </c>
      <c r="C1948">
        <v>2025</v>
      </c>
      <c r="D1948" s="4">
        <v>6217.6</v>
      </c>
      <c r="E1948" s="26">
        <v>45906</v>
      </c>
      <c r="F1948" s="5"/>
    </row>
    <row r="1949" spans="1:6" x14ac:dyDescent="0.3">
      <c r="A1949" t="s">
        <v>121</v>
      </c>
      <c r="B1949" t="s">
        <v>122</v>
      </c>
      <c r="C1949">
        <v>2024</v>
      </c>
      <c r="D1949" s="4">
        <v>245.64</v>
      </c>
      <c r="E1949" s="26">
        <v>45389</v>
      </c>
      <c r="F1949" s="5"/>
    </row>
    <row r="1950" spans="1:6" x14ac:dyDescent="0.3">
      <c r="A1950" t="s">
        <v>126</v>
      </c>
      <c r="B1950" t="s">
        <v>116</v>
      </c>
      <c r="C1950">
        <v>2023</v>
      </c>
      <c r="D1950" s="4">
        <v>8027.97</v>
      </c>
      <c r="E1950" s="26">
        <v>45175</v>
      </c>
      <c r="F1950" s="5"/>
    </row>
    <row r="1951" spans="1:6" x14ac:dyDescent="0.3">
      <c r="A1951" t="s">
        <v>139</v>
      </c>
      <c r="B1951" t="s">
        <v>120</v>
      </c>
      <c r="C1951">
        <v>2024</v>
      </c>
      <c r="D1951" s="4">
        <v>9609.33</v>
      </c>
      <c r="E1951" s="26">
        <v>45609</v>
      </c>
      <c r="F1951" s="5"/>
    </row>
    <row r="1952" spans="1:6" x14ac:dyDescent="0.3">
      <c r="A1952" t="s">
        <v>155</v>
      </c>
      <c r="B1952" t="s">
        <v>128</v>
      </c>
      <c r="C1952">
        <v>2023</v>
      </c>
      <c r="D1952" s="4">
        <v>8925.36</v>
      </c>
      <c r="E1952" s="26">
        <v>45040</v>
      </c>
      <c r="F1952" s="5"/>
    </row>
    <row r="1953" spans="1:6" x14ac:dyDescent="0.3">
      <c r="A1953" t="s">
        <v>158</v>
      </c>
      <c r="B1953" t="s">
        <v>120</v>
      </c>
      <c r="C1953">
        <v>2025</v>
      </c>
      <c r="D1953" s="4">
        <v>7577.84</v>
      </c>
      <c r="E1953" s="26">
        <v>45675</v>
      </c>
      <c r="F1953" s="5"/>
    </row>
    <row r="1954" spans="1:6" x14ac:dyDescent="0.3">
      <c r="A1954" t="s">
        <v>117</v>
      </c>
      <c r="B1954" t="s">
        <v>116</v>
      </c>
      <c r="C1954">
        <v>2023</v>
      </c>
      <c r="D1954" s="4">
        <v>11808.31</v>
      </c>
      <c r="E1954" s="26">
        <v>45091</v>
      </c>
      <c r="F1954" s="5"/>
    </row>
    <row r="1955" spans="1:6" x14ac:dyDescent="0.3">
      <c r="A1955" t="s">
        <v>130</v>
      </c>
      <c r="B1955" t="s">
        <v>116</v>
      </c>
      <c r="C1955">
        <v>2024</v>
      </c>
      <c r="D1955" s="4">
        <v>2637.33</v>
      </c>
      <c r="E1955" s="26">
        <v>45342</v>
      </c>
      <c r="F1955" s="5"/>
    </row>
    <row r="1956" spans="1:6" x14ac:dyDescent="0.3">
      <c r="A1956" t="s">
        <v>134</v>
      </c>
      <c r="B1956" t="s">
        <v>120</v>
      </c>
      <c r="C1956">
        <v>2025</v>
      </c>
      <c r="D1956" s="4">
        <v>9318.1299999999992</v>
      </c>
      <c r="E1956" s="26">
        <v>45713</v>
      </c>
      <c r="F1956" s="5"/>
    </row>
    <row r="1957" spans="1:6" x14ac:dyDescent="0.3">
      <c r="A1957" t="s">
        <v>149</v>
      </c>
      <c r="B1957" t="s">
        <v>122</v>
      </c>
      <c r="C1957">
        <v>2025</v>
      </c>
      <c r="D1957" s="4">
        <v>12571.16</v>
      </c>
      <c r="E1957" s="26">
        <v>45725</v>
      </c>
      <c r="F1957" s="5"/>
    </row>
    <row r="1958" spans="1:6" x14ac:dyDescent="0.3">
      <c r="A1958" t="s">
        <v>139</v>
      </c>
      <c r="B1958" t="s">
        <v>120</v>
      </c>
      <c r="C1958">
        <v>2025</v>
      </c>
      <c r="D1958" s="4">
        <v>1371.1</v>
      </c>
      <c r="E1958" s="26">
        <v>45923</v>
      </c>
      <c r="F1958" s="5"/>
    </row>
    <row r="1959" spans="1:6" x14ac:dyDescent="0.3">
      <c r="A1959" t="s">
        <v>151</v>
      </c>
      <c r="B1959" t="s">
        <v>120</v>
      </c>
      <c r="C1959">
        <v>2024</v>
      </c>
      <c r="D1959" s="4">
        <v>2131.21</v>
      </c>
      <c r="E1959" s="26">
        <v>45315</v>
      </c>
      <c r="F1959" s="5"/>
    </row>
    <row r="1960" spans="1:6" x14ac:dyDescent="0.3">
      <c r="A1960" t="s">
        <v>118</v>
      </c>
      <c r="B1960" t="s">
        <v>116</v>
      </c>
      <c r="C1960">
        <v>2023</v>
      </c>
      <c r="D1960" s="4">
        <v>10132.4</v>
      </c>
      <c r="E1960" s="26">
        <v>44978</v>
      </c>
      <c r="F1960" s="5"/>
    </row>
    <row r="1961" spans="1:6" x14ac:dyDescent="0.3">
      <c r="A1961" t="s">
        <v>131</v>
      </c>
      <c r="B1961" t="s">
        <v>122</v>
      </c>
      <c r="C1961">
        <v>2024</v>
      </c>
      <c r="D1961" s="4">
        <v>6951.41</v>
      </c>
      <c r="E1961" s="26">
        <v>45415</v>
      </c>
      <c r="F1961" s="5"/>
    </row>
    <row r="1962" spans="1:6" x14ac:dyDescent="0.3">
      <c r="A1962" t="s">
        <v>121</v>
      </c>
      <c r="B1962" t="s">
        <v>122</v>
      </c>
      <c r="C1962">
        <v>2024</v>
      </c>
      <c r="D1962" s="4">
        <v>7095.64</v>
      </c>
      <c r="E1962" s="26">
        <v>45557</v>
      </c>
      <c r="F1962" s="5"/>
    </row>
    <row r="1963" spans="1:6" x14ac:dyDescent="0.3">
      <c r="A1963" t="s">
        <v>151</v>
      </c>
      <c r="B1963" t="s">
        <v>120</v>
      </c>
      <c r="C1963">
        <v>2023</v>
      </c>
      <c r="D1963" s="4">
        <v>711.19</v>
      </c>
      <c r="E1963" s="26">
        <v>44960</v>
      </c>
      <c r="F1963" s="5"/>
    </row>
    <row r="1964" spans="1:6" x14ac:dyDescent="0.3">
      <c r="A1964" t="s">
        <v>115</v>
      </c>
      <c r="B1964" t="s">
        <v>116</v>
      </c>
      <c r="C1964">
        <v>2024</v>
      </c>
      <c r="D1964" s="4">
        <v>11071.34</v>
      </c>
      <c r="E1964" s="26">
        <v>45618</v>
      </c>
      <c r="F1964" s="5"/>
    </row>
    <row r="1965" spans="1:6" x14ac:dyDescent="0.3">
      <c r="A1965" t="s">
        <v>134</v>
      </c>
      <c r="B1965" t="s">
        <v>120</v>
      </c>
      <c r="C1965">
        <v>2025</v>
      </c>
      <c r="D1965" s="4">
        <v>1830.98</v>
      </c>
      <c r="E1965" s="26">
        <v>45757</v>
      </c>
      <c r="F1965" s="5"/>
    </row>
    <row r="1966" spans="1:6" x14ac:dyDescent="0.3">
      <c r="A1966" t="s">
        <v>141</v>
      </c>
      <c r="B1966" t="s">
        <v>116</v>
      </c>
      <c r="C1966">
        <v>2025</v>
      </c>
      <c r="D1966" s="4">
        <v>13173.24</v>
      </c>
      <c r="E1966" s="26">
        <v>45865</v>
      </c>
      <c r="F1966" s="5"/>
    </row>
    <row r="1967" spans="1:6" x14ac:dyDescent="0.3">
      <c r="A1967" t="s">
        <v>124</v>
      </c>
      <c r="B1967" t="s">
        <v>120</v>
      </c>
      <c r="C1967">
        <v>2023</v>
      </c>
      <c r="D1967" s="4">
        <v>10426.51</v>
      </c>
      <c r="E1967" s="26">
        <v>45232</v>
      </c>
      <c r="F1967" s="5"/>
    </row>
    <row r="1968" spans="1:6" x14ac:dyDescent="0.3">
      <c r="A1968" t="s">
        <v>147</v>
      </c>
      <c r="B1968" t="s">
        <v>120</v>
      </c>
      <c r="C1968">
        <v>2023</v>
      </c>
      <c r="D1968" s="4">
        <v>708.91</v>
      </c>
      <c r="E1968" s="26">
        <v>45074</v>
      </c>
      <c r="F1968" s="5"/>
    </row>
    <row r="1969" spans="1:6" x14ac:dyDescent="0.3">
      <c r="A1969" t="s">
        <v>146</v>
      </c>
      <c r="B1969" t="s">
        <v>128</v>
      </c>
      <c r="C1969">
        <v>2025</v>
      </c>
      <c r="D1969" s="4">
        <v>9222.8799999999992</v>
      </c>
      <c r="E1969" s="26">
        <v>45928</v>
      </c>
      <c r="F1969" s="5"/>
    </row>
    <row r="1970" spans="1:6" x14ac:dyDescent="0.3">
      <c r="A1970" t="s">
        <v>126</v>
      </c>
      <c r="B1970" t="s">
        <v>116</v>
      </c>
      <c r="C1970">
        <v>2023</v>
      </c>
      <c r="D1970" s="4">
        <v>3549.02</v>
      </c>
      <c r="E1970" s="26">
        <v>45020</v>
      </c>
      <c r="F1970" s="5"/>
    </row>
    <row r="1971" spans="1:6" x14ac:dyDescent="0.3">
      <c r="A1971" t="s">
        <v>137</v>
      </c>
      <c r="B1971" t="s">
        <v>128</v>
      </c>
      <c r="C1971">
        <v>2023</v>
      </c>
      <c r="D1971" s="4">
        <v>2577.04</v>
      </c>
      <c r="E1971" s="26">
        <v>44956</v>
      </c>
      <c r="F1971" s="5"/>
    </row>
    <row r="1972" spans="1:6" x14ac:dyDescent="0.3">
      <c r="A1972" t="s">
        <v>115</v>
      </c>
      <c r="B1972" t="s">
        <v>116</v>
      </c>
      <c r="C1972">
        <v>2024</v>
      </c>
      <c r="D1972" s="4">
        <v>11526.2</v>
      </c>
      <c r="E1972" s="26">
        <v>45556</v>
      </c>
      <c r="F1972" s="5"/>
    </row>
    <row r="1973" spans="1:6" x14ac:dyDescent="0.3">
      <c r="A1973" t="s">
        <v>142</v>
      </c>
      <c r="B1973" t="s">
        <v>120</v>
      </c>
      <c r="C1973">
        <v>2025</v>
      </c>
      <c r="D1973" s="4">
        <v>8634.92</v>
      </c>
      <c r="E1973" s="26">
        <v>45861</v>
      </c>
      <c r="F1973" s="5"/>
    </row>
    <row r="1974" spans="1:6" x14ac:dyDescent="0.3">
      <c r="A1974" t="s">
        <v>131</v>
      </c>
      <c r="B1974" t="s">
        <v>122</v>
      </c>
      <c r="C1974">
        <v>2023</v>
      </c>
      <c r="D1974" s="4">
        <v>11485.64</v>
      </c>
      <c r="E1974" s="26">
        <v>45057</v>
      </c>
      <c r="F1974" s="5"/>
    </row>
    <row r="1975" spans="1:6" x14ac:dyDescent="0.3">
      <c r="A1975" t="s">
        <v>142</v>
      </c>
      <c r="B1975" t="s">
        <v>120</v>
      </c>
      <c r="C1975">
        <v>2023</v>
      </c>
      <c r="D1975" s="4">
        <v>7060.58</v>
      </c>
      <c r="E1975" s="26">
        <v>45160</v>
      </c>
      <c r="F1975" s="5"/>
    </row>
    <row r="1976" spans="1:6" x14ac:dyDescent="0.3">
      <c r="A1976" t="s">
        <v>153</v>
      </c>
      <c r="B1976" t="s">
        <v>122</v>
      </c>
      <c r="C1976">
        <v>2024</v>
      </c>
      <c r="D1976" s="4">
        <v>1070.92</v>
      </c>
      <c r="E1976" s="26">
        <v>45378</v>
      </c>
      <c r="F1976" s="5"/>
    </row>
    <row r="1977" spans="1:6" x14ac:dyDescent="0.3">
      <c r="A1977" t="s">
        <v>118</v>
      </c>
      <c r="B1977" t="s">
        <v>116</v>
      </c>
      <c r="C1977">
        <v>2025</v>
      </c>
      <c r="D1977" s="4">
        <v>4855.33</v>
      </c>
      <c r="E1977" s="26">
        <v>45799</v>
      </c>
      <c r="F1977" s="5"/>
    </row>
    <row r="1978" spans="1:6" x14ac:dyDescent="0.3">
      <c r="A1978" t="s">
        <v>155</v>
      </c>
      <c r="B1978" t="s">
        <v>128</v>
      </c>
      <c r="C1978">
        <v>2024</v>
      </c>
      <c r="D1978" s="4">
        <v>1867.07</v>
      </c>
      <c r="E1978" s="26">
        <v>45591</v>
      </c>
      <c r="F1978" s="5"/>
    </row>
    <row r="1979" spans="1:6" x14ac:dyDescent="0.3">
      <c r="A1979" t="s">
        <v>133</v>
      </c>
      <c r="B1979" t="s">
        <v>128</v>
      </c>
      <c r="C1979">
        <v>2023</v>
      </c>
      <c r="D1979" s="4">
        <v>4637.9399999999996</v>
      </c>
      <c r="E1979" s="26">
        <v>45208</v>
      </c>
      <c r="F1979" s="5"/>
    </row>
    <row r="1980" spans="1:6" x14ac:dyDescent="0.3">
      <c r="A1980" t="s">
        <v>138</v>
      </c>
      <c r="B1980" t="s">
        <v>122</v>
      </c>
      <c r="C1980">
        <v>2023</v>
      </c>
      <c r="D1980" s="4">
        <v>8384.58</v>
      </c>
      <c r="E1980" s="26">
        <v>45020</v>
      </c>
      <c r="F1980" s="5"/>
    </row>
    <row r="1981" spans="1:6" x14ac:dyDescent="0.3">
      <c r="A1981" t="s">
        <v>117</v>
      </c>
      <c r="B1981" t="s">
        <v>116</v>
      </c>
      <c r="C1981">
        <v>2023</v>
      </c>
      <c r="D1981" s="4">
        <v>1866.29</v>
      </c>
      <c r="E1981" s="26">
        <v>45056</v>
      </c>
      <c r="F1981" s="5"/>
    </row>
    <row r="1982" spans="1:6" x14ac:dyDescent="0.3">
      <c r="A1982" t="s">
        <v>146</v>
      </c>
      <c r="B1982" t="s">
        <v>128</v>
      </c>
      <c r="C1982">
        <v>2025</v>
      </c>
      <c r="D1982" s="4">
        <v>2519.1</v>
      </c>
      <c r="E1982" s="26">
        <v>45777</v>
      </c>
      <c r="F1982" s="5"/>
    </row>
    <row r="1983" spans="1:6" x14ac:dyDescent="0.3">
      <c r="A1983" t="s">
        <v>140</v>
      </c>
      <c r="B1983" t="s">
        <v>128</v>
      </c>
      <c r="C1983">
        <v>2023</v>
      </c>
      <c r="D1983" s="4">
        <v>6253.52</v>
      </c>
      <c r="E1983" s="26">
        <v>45264</v>
      </c>
      <c r="F1983" s="5"/>
    </row>
    <row r="1984" spans="1:6" x14ac:dyDescent="0.3">
      <c r="A1984" t="s">
        <v>131</v>
      </c>
      <c r="B1984" t="s">
        <v>122</v>
      </c>
      <c r="C1984">
        <v>2023</v>
      </c>
      <c r="D1984" s="4">
        <v>2040.52</v>
      </c>
      <c r="E1984" s="26">
        <v>45010</v>
      </c>
      <c r="F1984" s="5"/>
    </row>
    <row r="1985" spans="1:6" x14ac:dyDescent="0.3">
      <c r="A1985" t="s">
        <v>153</v>
      </c>
      <c r="B1985" t="s">
        <v>122</v>
      </c>
      <c r="C1985">
        <v>2025</v>
      </c>
      <c r="D1985" s="4">
        <v>10931.73</v>
      </c>
      <c r="E1985" s="26">
        <v>45697</v>
      </c>
      <c r="F1985" s="5"/>
    </row>
    <row r="1986" spans="1:6" x14ac:dyDescent="0.3">
      <c r="A1986" t="s">
        <v>159</v>
      </c>
      <c r="B1986" t="s">
        <v>116</v>
      </c>
      <c r="C1986">
        <v>2025</v>
      </c>
      <c r="D1986" s="4">
        <v>1313.97</v>
      </c>
      <c r="E1986" s="26">
        <v>45924</v>
      </c>
      <c r="F1986" s="5"/>
    </row>
    <row r="1987" spans="1:6" x14ac:dyDescent="0.3">
      <c r="A1987" t="s">
        <v>150</v>
      </c>
      <c r="B1987" t="s">
        <v>116</v>
      </c>
      <c r="C1987">
        <v>2024</v>
      </c>
      <c r="D1987" s="4">
        <v>12980.69</v>
      </c>
      <c r="E1987" s="26">
        <v>45294</v>
      </c>
      <c r="F1987" s="5"/>
    </row>
    <row r="1988" spans="1:6" x14ac:dyDescent="0.3">
      <c r="A1988" t="s">
        <v>131</v>
      </c>
      <c r="B1988" t="s">
        <v>122</v>
      </c>
      <c r="C1988">
        <v>2024</v>
      </c>
      <c r="D1988" s="4">
        <v>5943.87</v>
      </c>
      <c r="E1988" s="26">
        <v>45508</v>
      </c>
      <c r="F1988" s="5"/>
    </row>
    <row r="1989" spans="1:6" x14ac:dyDescent="0.3">
      <c r="A1989" t="s">
        <v>126</v>
      </c>
      <c r="B1989" t="s">
        <v>116</v>
      </c>
      <c r="C1989">
        <v>2023</v>
      </c>
      <c r="D1989" s="4">
        <v>3045.01</v>
      </c>
      <c r="E1989" s="26">
        <v>45186</v>
      </c>
      <c r="F1989" s="5"/>
    </row>
    <row r="1990" spans="1:6" x14ac:dyDescent="0.3">
      <c r="A1990" t="s">
        <v>154</v>
      </c>
      <c r="B1990" t="s">
        <v>128</v>
      </c>
      <c r="C1990">
        <v>2025</v>
      </c>
      <c r="D1990" s="4">
        <v>6415.78</v>
      </c>
      <c r="E1990" s="26">
        <v>45998</v>
      </c>
      <c r="F1990" s="5"/>
    </row>
    <row r="1991" spans="1:6" x14ac:dyDescent="0.3">
      <c r="A1991" t="s">
        <v>125</v>
      </c>
      <c r="B1991" t="s">
        <v>122</v>
      </c>
      <c r="C1991">
        <v>2023</v>
      </c>
      <c r="D1991" s="4">
        <v>8625.42</v>
      </c>
      <c r="E1991" s="26">
        <v>45284</v>
      </c>
      <c r="F1991" s="5"/>
    </row>
    <row r="1992" spans="1:6" x14ac:dyDescent="0.3">
      <c r="A1992" t="s">
        <v>134</v>
      </c>
      <c r="B1992" t="s">
        <v>120</v>
      </c>
      <c r="C1992">
        <v>2024</v>
      </c>
      <c r="D1992" s="4">
        <v>10097.34</v>
      </c>
      <c r="E1992" s="26">
        <v>45295</v>
      </c>
      <c r="F1992" s="5"/>
    </row>
    <row r="1993" spans="1:6" x14ac:dyDescent="0.3">
      <c r="A1993" t="s">
        <v>153</v>
      </c>
      <c r="B1993" t="s">
        <v>122</v>
      </c>
      <c r="C1993">
        <v>2023</v>
      </c>
      <c r="D1993" s="4">
        <v>8855.24</v>
      </c>
      <c r="E1993" s="26">
        <v>45107</v>
      </c>
      <c r="F1993" s="5"/>
    </row>
    <row r="1994" spans="1:6" x14ac:dyDescent="0.3">
      <c r="A1994" t="s">
        <v>149</v>
      </c>
      <c r="B1994" t="s">
        <v>122</v>
      </c>
      <c r="C1994">
        <v>2024</v>
      </c>
      <c r="D1994" s="4">
        <v>5979.25</v>
      </c>
      <c r="E1994" s="26">
        <v>45639</v>
      </c>
      <c r="F1994" s="5"/>
    </row>
    <row r="1995" spans="1:6" x14ac:dyDescent="0.3">
      <c r="A1995" t="s">
        <v>123</v>
      </c>
      <c r="B1995" t="s">
        <v>120</v>
      </c>
      <c r="C1995">
        <v>2024</v>
      </c>
      <c r="D1995" s="4">
        <v>2848.26</v>
      </c>
      <c r="E1995" s="26">
        <v>45409</v>
      </c>
      <c r="F1995" s="5"/>
    </row>
    <row r="1996" spans="1:6" x14ac:dyDescent="0.3">
      <c r="A1996" t="s">
        <v>141</v>
      </c>
      <c r="B1996" t="s">
        <v>116</v>
      </c>
      <c r="C1996">
        <v>2023</v>
      </c>
      <c r="D1996" s="4">
        <v>8741.11</v>
      </c>
      <c r="E1996" s="26">
        <v>45122</v>
      </c>
      <c r="F1996" s="5"/>
    </row>
    <row r="1997" spans="1:6" x14ac:dyDescent="0.3">
      <c r="A1997" t="s">
        <v>124</v>
      </c>
      <c r="B1997" t="s">
        <v>120</v>
      </c>
      <c r="C1997">
        <v>2025</v>
      </c>
      <c r="D1997" s="4">
        <v>3226.01</v>
      </c>
      <c r="E1997" s="26">
        <v>45966</v>
      </c>
      <c r="F1997" s="5"/>
    </row>
    <row r="1998" spans="1:6" x14ac:dyDescent="0.3">
      <c r="A1998" t="s">
        <v>138</v>
      </c>
      <c r="B1998" t="s">
        <v>122</v>
      </c>
      <c r="C1998">
        <v>2024</v>
      </c>
      <c r="D1998" s="4">
        <v>932.35</v>
      </c>
      <c r="E1998" s="26">
        <v>45493</v>
      </c>
      <c r="F1998" s="5"/>
    </row>
    <row r="1999" spans="1:6" x14ac:dyDescent="0.3">
      <c r="A1999" t="s">
        <v>145</v>
      </c>
      <c r="B1999" t="s">
        <v>120</v>
      </c>
      <c r="C1999">
        <v>2023</v>
      </c>
      <c r="D1999" s="4">
        <v>9656.36</v>
      </c>
      <c r="E1999" s="26">
        <v>45232</v>
      </c>
      <c r="F1999" s="5"/>
    </row>
    <row r="2000" spans="1:6" x14ac:dyDescent="0.3">
      <c r="A2000" t="s">
        <v>126</v>
      </c>
      <c r="B2000" t="s">
        <v>116</v>
      </c>
      <c r="C2000">
        <v>2025</v>
      </c>
      <c r="D2000" s="4">
        <v>2633.27</v>
      </c>
      <c r="E2000" s="26">
        <v>45945</v>
      </c>
      <c r="F2000" s="5"/>
    </row>
    <row r="2001" spans="1:6" x14ac:dyDescent="0.3">
      <c r="A2001" t="s">
        <v>134</v>
      </c>
      <c r="B2001" t="s">
        <v>120</v>
      </c>
      <c r="C2001">
        <v>2023</v>
      </c>
      <c r="D2001" s="4">
        <v>9099.08</v>
      </c>
      <c r="E2001" s="26">
        <v>45037</v>
      </c>
      <c r="F2001" s="5"/>
    </row>
  </sheetData>
  <autoFilter ref="E1:E2001" xr:uid="{00000000-0001-0000-0300-000000000000}">
    <filterColumn colId="0">
      <filters>
        <dateGroupItem year="2025" dateTimeGrouping="year"/>
        <dateGroupItem year="2024" dateTimeGrouping="year"/>
        <dateGroupItem year="2023" dateTimeGrouping="year"/>
      </filters>
    </filterColumn>
  </autoFilter>
  <sortState xmlns:xlrd2="http://schemas.microsoft.com/office/spreadsheetml/2017/richdata2" ref="A13:F498">
    <sortCondition ref="E498:E2001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zoomScale="130" zoomScaleNormal="130" workbookViewId="0">
      <pane ySplit="1" topLeftCell="A2" activePane="bottomLeft" state="frozen"/>
      <selection pane="bottomLeft" activeCell="D9" sqref="D9"/>
    </sheetView>
  </sheetViews>
  <sheetFormatPr defaultRowHeight="14.4" x14ac:dyDescent="0.3"/>
  <cols>
    <col min="1" max="1" width="6" customWidth="1"/>
    <col min="2" max="2" width="30" customWidth="1"/>
    <col min="3" max="4" width="14" customWidth="1"/>
    <col min="5" max="5" width="10" customWidth="1"/>
  </cols>
  <sheetData>
    <row r="1" spans="1:5" ht="19.95" customHeight="1" x14ac:dyDescent="0.3">
      <c r="A1" s="1" t="s">
        <v>44</v>
      </c>
      <c r="B1" s="1" t="s">
        <v>160</v>
      </c>
      <c r="C1" s="1" t="s">
        <v>161</v>
      </c>
      <c r="D1" s="1" t="s">
        <v>162</v>
      </c>
      <c r="E1" s="1" t="s">
        <v>104</v>
      </c>
    </row>
    <row r="2" spans="1:5" x14ac:dyDescent="0.3">
      <c r="A2">
        <v>1</v>
      </c>
      <c r="B2" t="s">
        <v>163</v>
      </c>
      <c r="C2" t="s">
        <v>164</v>
      </c>
      <c r="D2" t="s">
        <v>165</v>
      </c>
      <c r="E2">
        <v>258</v>
      </c>
    </row>
    <row r="3" spans="1:5" x14ac:dyDescent="0.3">
      <c r="A3">
        <v>2</v>
      </c>
      <c r="B3" t="s">
        <v>166</v>
      </c>
      <c r="C3" t="s">
        <v>167</v>
      </c>
      <c r="D3" t="s">
        <v>165</v>
      </c>
      <c r="E3">
        <v>45</v>
      </c>
    </row>
    <row r="4" spans="1:5" x14ac:dyDescent="0.3">
      <c r="A4">
        <v>3</v>
      </c>
      <c r="B4" t="s">
        <v>168</v>
      </c>
      <c r="C4" t="s">
        <v>169</v>
      </c>
      <c r="D4" t="s">
        <v>170</v>
      </c>
      <c r="E4">
        <v>181</v>
      </c>
    </row>
    <row r="5" spans="1:5" x14ac:dyDescent="0.3">
      <c r="A5">
        <v>4</v>
      </c>
      <c r="B5" t="s">
        <v>171</v>
      </c>
      <c r="C5" t="s">
        <v>169</v>
      </c>
      <c r="D5" t="s">
        <v>165</v>
      </c>
      <c r="E5">
        <v>528</v>
      </c>
    </row>
    <row r="6" spans="1:5" x14ac:dyDescent="0.3">
      <c r="A6">
        <v>5</v>
      </c>
      <c r="B6" t="s">
        <v>168</v>
      </c>
      <c r="C6" t="s">
        <v>169</v>
      </c>
      <c r="D6" t="s">
        <v>172</v>
      </c>
      <c r="E6">
        <v>739</v>
      </c>
    </row>
    <row r="7" spans="1:5" x14ac:dyDescent="0.3">
      <c r="A7">
        <v>6</v>
      </c>
      <c r="B7" t="s">
        <v>173</v>
      </c>
      <c r="C7" t="s">
        <v>167</v>
      </c>
      <c r="D7" t="s">
        <v>170</v>
      </c>
      <c r="E7">
        <v>334</v>
      </c>
    </row>
    <row r="8" spans="1:5" x14ac:dyDescent="0.3">
      <c r="A8">
        <v>7</v>
      </c>
      <c r="B8" t="s">
        <v>174</v>
      </c>
      <c r="C8" t="s">
        <v>164</v>
      </c>
      <c r="D8" t="s">
        <v>170</v>
      </c>
      <c r="E8">
        <v>694</v>
      </c>
    </row>
    <row r="9" spans="1:5" x14ac:dyDescent="0.3">
      <c r="A9">
        <v>8</v>
      </c>
      <c r="B9" t="s">
        <v>166</v>
      </c>
      <c r="C9" t="s">
        <v>164</v>
      </c>
      <c r="D9" t="s">
        <v>175</v>
      </c>
      <c r="E9">
        <v>334</v>
      </c>
    </row>
    <row r="10" spans="1:5" x14ac:dyDescent="0.3">
      <c r="A10">
        <v>9</v>
      </c>
      <c r="B10" t="s">
        <v>176</v>
      </c>
      <c r="C10" t="s">
        <v>169</v>
      </c>
      <c r="D10" t="s">
        <v>175</v>
      </c>
      <c r="E10">
        <v>756</v>
      </c>
    </row>
    <row r="11" spans="1:5" x14ac:dyDescent="0.3">
      <c r="A11">
        <v>10</v>
      </c>
      <c r="B11" t="s">
        <v>174</v>
      </c>
      <c r="C11" t="s">
        <v>164</v>
      </c>
      <c r="D11" t="s">
        <v>165</v>
      </c>
      <c r="E11">
        <v>913</v>
      </c>
    </row>
    <row r="12" spans="1:5" x14ac:dyDescent="0.3">
      <c r="A12">
        <v>11</v>
      </c>
      <c r="B12" t="s">
        <v>176</v>
      </c>
      <c r="C12" t="s">
        <v>169</v>
      </c>
      <c r="D12" t="s">
        <v>165</v>
      </c>
      <c r="E12">
        <v>600</v>
      </c>
    </row>
    <row r="13" spans="1:5" x14ac:dyDescent="0.3">
      <c r="A13">
        <v>12</v>
      </c>
      <c r="B13" t="s">
        <v>177</v>
      </c>
      <c r="C13" t="s">
        <v>178</v>
      </c>
      <c r="D13" t="s">
        <v>165</v>
      </c>
      <c r="E13">
        <v>149</v>
      </c>
    </row>
    <row r="14" spans="1:5" x14ac:dyDescent="0.3">
      <c r="A14">
        <v>13</v>
      </c>
      <c r="B14" t="s">
        <v>179</v>
      </c>
      <c r="C14" t="s">
        <v>167</v>
      </c>
      <c r="D14" t="s">
        <v>165</v>
      </c>
      <c r="E14">
        <v>183</v>
      </c>
    </row>
    <row r="15" spans="1:5" x14ac:dyDescent="0.3">
      <c r="A15">
        <v>14</v>
      </c>
      <c r="B15" t="s">
        <v>180</v>
      </c>
      <c r="C15" t="s">
        <v>181</v>
      </c>
      <c r="D15" t="s">
        <v>175</v>
      </c>
      <c r="E15">
        <v>469</v>
      </c>
    </row>
    <row r="16" spans="1:5" x14ac:dyDescent="0.3">
      <c r="A16">
        <v>15</v>
      </c>
      <c r="B16" t="s">
        <v>179</v>
      </c>
      <c r="C16" t="s">
        <v>181</v>
      </c>
      <c r="D16" t="s">
        <v>165</v>
      </c>
      <c r="E16">
        <v>208</v>
      </c>
    </row>
    <row r="17" spans="1:5" x14ac:dyDescent="0.3">
      <c r="A17">
        <v>16</v>
      </c>
      <c r="B17" t="s">
        <v>166</v>
      </c>
      <c r="C17" t="s">
        <v>164</v>
      </c>
      <c r="D17" t="s">
        <v>175</v>
      </c>
      <c r="E17">
        <v>709</v>
      </c>
    </row>
    <row r="18" spans="1:5" x14ac:dyDescent="0.3">
      <c r="A18">
        <v>17</v>
      </c>
      <c r="B18" t="s">
        <v>182</v>
      </c>
      <c r="C18" t="s">
        <v>169</v>
      </c>
      <c r="D18" t="s">
        <v>165</v>
      </c>
      <c r="E18">
        <v>140</v>
      </c>
    </row>
    <row r="19" spans="1:5" x14ac:dyDescent="0.3">
      <c r="A19">
        <v>18</v>
      </c>
      <c r="B19" t="s">
        <v>168</v>
      </c>
      <c r="C19" t="s">
        <v>183</v>
      </c>
      <c r="D19" t="s">
        <v>165</v>
      </c>
      <c r="E19">
        <v>429</v>
      </c>
    </row>
    <row r="20" spans="1:5" x14ac:dyDescent="0.3">
      <c r="A20">
        <v>19</v>
      </c>
      <c r="B20" t="s">
        <v>171</v>
      </c>
      <c r="C20" t="s">
        <v>181</v>
      </c>
      <c r="D20" t="s">
        <v>175</v>
      </c>
      <c r="E20">
        <v>908</v>
      </c>
    </row>
    <row r="21" spans="1:5" x14ac:dyDescent="0.3">
      <c r="A21">
        <v>20</v>
      </c>
      <c r="B21" t="s">
        <v>163</v>
      </c>
      <c r="C21" t="s">
        <v>167</v>
      </c>
      <c r="D21" t="s">
        <v>175</v>
      </c>
      <c r="E21">
        <v>809</v>
      </c>
    </row>
    <row r="22" spans="1:5" x14ac:dyDescent="0.3">
      <c r="A22">
        <v>21</v>
      </c>
      <c r="B22" t="s">
        <v>184</v>
      </c>
      <c r="C22" t="s">
        <v>164</v>
      </c>
      <c r="D22" t="s">
        <v>170</v>
      </c>
      <c r="E22">
        <v>994</v>
      </c>
    </row>
    <row r="23" spans="1:5" x14ac:dyDescent="0.3">
      <c r="A23">
        <v>22</v>
      </c>
      <c r="B23" t="s">
        <v>185</v>
      </c>
      <c r="C23" t="s">
        <v>164</v>
      </c>
      <c r="D23" t="s">
        <v>175</v>
      </c>
      <c r="E23">
        <v>422</v>
      </c>
    </row>
    <row r="24" spans="1:5" x14ac:dyDescent="0.3">
      <c r="A24">
        <v>23</v>
      </c>
      <c r="B24" t="s">
        <v>186</v>
      </c>
      <c r="C24" t="s">
        <v>183</v>
      </c>
      <c r="D24" t="s">
        <v>172</v>
      </c>
      <c r="E24">
        <v>606</v>
      </c>
    </row>
    <row r="25" spans="1:5" x14ac:dyDescent="0.3">
      <c r="A25">
        <v>24</v>
      </c>
      <c r="B25" t="s">
        <v>177</v>
      </c>
      <c r="C25" t="s">
        <v>183</v>
      </c>
      <c r="D25" t="s">
        <v>165</v>
      </c>
      <c r="E25">
        <v>15</v>
      </c>
    </row>
    <row r="26" spans="1:5" x14ac:dyDescent="0.3">
      <c r="A26">
        <v>25</v>
      </c>
      <c r="B26" t="s">
        <v>174</v>
      </c>
      <c r="C26" t="s">
        <v>164</v>
      </c>
      <c r="D26" t="s">
        <v>175</v>
      </c>
      <c r="E26">
        <v>336</v>
      </c>
    </row>
    <row r="27" spans="1:5" x14ac:dyDescent="0.3">
      <c r="A27">
        <v>26</v>
      </c>
      <c r="B27" t="s">
        <v>174</v>
      </c>
      <c r="C27" t="s">
        <v>167</v>
      </c>
      <c r="D27" t="s">
        <v>175</v>
      </c>
      <c r="E27">
        <v>914</v>
      </c>
    </row>
    <row r="28" spans="1:5" x14ac:dyDescent="0.3">
      <c r="A28">
        <v>27</v>
      </c>
      <c r="B28" t="s">
        <v>182</v>
      </c>
      <c r="C28" t="s">
        <v>164</v>
      </c>
      <c r="D28" t="s">
        <v>170</v>
      </c>
      <c r="E28">
        <v>920</v>
      </c>
    </row>
    <row r="29" spans="1:5" x14ac:dyDescent="0.3">
      <c r="A29">
        <v>28</v>
      </c>
      <c r="B29" t="s">
        <v>187</v>
      </c>
      <c r="C29" t="s">
        <v>183</v>
      </c>
      <c r="D29" t="s">
        <v>175</v>
      </c>
      <c r="E29">
        <v>42</v>
      </c>
    </row>
    <row r="30" spans="1:5" x14ac:dyDescent="0.3">
      <c r="A30">
        <v>29</v>
      </c>
      <c r="B30" t="s">
        <v>177</v>
      </c>
      <c r="C30" t="s">
        <v>167</v>
      </c>
      <c r="D30" t="s">
        <v>175</v>
      </c>
      <c r="E30">
        <v>436</v>
      </c>
    </row>
    <row r="31" spans="1:5" x14ac:dyDescent="0.3">
      <c r="A31">
        <v>30</v>
      </c>
      <c r="B31" t="s">
        <v>186</v>
      </c>
      <c r="C31" t="s">
        <v>183</v>
      </c>
      <c r="D31" t="s">
        <v>165</v>
      </c>
      <c r="E31">
        <v>830</v>
      </c>
    </row>
  </sheetData>
  <conditionalFormatting sqref="D1:D1048576">
    <cfRule type="containsText" dxfId="0" priority="2" operator="containsText" text="&quot;offen&quot;">
      <formula>NOT(ISERROR(SEARCH("""offen""",D1)))</formula>
    </cfRule>
    <cfRule type="containsText" dxfId="1" priority="1" operator="containsText" text="offen">
      <formula>NOT(ISERROR(SEARCH("offen",D1)))</formula>
    </cfRule>
  </conditionalFormatting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2" customWidth="1"/>
    <col min="3" max="3" width="12" customWidth="1"/>
    <col min="4" max="4" width="14" customWidth="1"/>
  </cols>
  <sheetData>
    <row r="1" spans="1:4" ht="19.95" customHeight="1" x14ac:dyDescent="0.3">
      <c r="A1" s="1" t="s">
        <v>113</v>
      </c>
      <c r="B1" s="1" t="s">
        <v>109</v>
      </c>
      <c r="C1" s="1" t="s">
        <v>110</v>
      </c>
      <c r="D1" s="1" t="s">
        <v>112</v>
      </c>
    </row>
    <row r="2" spans="1:4" x14ac:dyDescent="0.3">
      <c r="A2" s="7">
        <v>46254</v>
      </c>
      <c r="B2" t="s">
        <v>142</v>
      </c>
      <c r="C2" t="s">
        <v>120</v>
      </c>
      <c r="D2" s="4">
        <v>8000.27</v>
      </c>
    </row>
    <row r="3" spans="1:4" x14ac:dyDescent="0.3">
      <c r="A3" s="7">
        <v>46308</v>
      </c>
      <c r="B3" t="s">
        <v>158</v>
      </c>
      <c r="C3" t="s">
        <v>120</v>
      </c>
      <c r="D3" s="4">
        <v>12086.3</v>
      </c>
    </row>
    <row r="4" spans="1:4" x14ac:dyDescent="0.3">
      <c r="A4" s="7">
        <v>46134</v>
      </c>
      <c r="B4" t="s">
        <v>148</v>
      </c>
      <c r="C4" t="s">
        <v>120</v>
      </c>
      <c r="D4" s="4">
        <v>2253.4899999999998</v>
      </c>
    </row>
    <row r="5" spans="1:4" x14ac:dyDescent="0.3">
      <c r="A5" s="7">
        <v>46145</v>
      </c>
      <c r="B5" t="s">
        <v>130</v>
      </c>
      <c r="C5" t="s">
        <v>116</v>
      </c>
      <c r="D5" s="4">
        <v>10415.1</v>
      </c>
    </row>
    <row r="6" spans="1:4" x14ac:dyDescent="0.3">
      <c r="A6" s="7">
        <v>46031</v>
      </c>
      <c r="B6" t="s">
        <v>158</v>
      </c>
      <c r="C6" t="s">
        <v>120</v>
      </c>
      <c r="D6" s="4">
        <v>7754.56</v>
      </c>
    </row>
    <row r="7" spans="1:4" x14ac:dyDescent="0.3">
      <c r="A7" s="7">
        <v>46105</v>
      </c>
      <c r="B7" t="s">
        <v>149</v>
      </c>
      <c r="C7" t="s">
        <v>122</v>
      </c>
      <c r="D7" s="4">
        <v>11297.38</v>
      </c>
    </row>
    <row r="8" spans="1:4" x14ac:dyDescent="0.3">
      <c r="A8" s="7">
        <v>46321</v>
      </c>
      <c r="B8" t="s">
        <v>133</v>
      </c>
      <c r="C8" t="s">
        <v>128</v>
      </c>
      <c r="D8" s="4">
        <v>536.95000000000005</v>
      </c>
    </row>
    <row r="9" spans="1:4" x14ac:dyDescent="0.3">
      <c r="A9" s="7">
        <v>46260</v>
      </c>
      <c r="B9" t="s">
        <v>129</v>
      </c>
      <c r="C9" t="s">
        <v>120</v>
      </c>
      <c r="D9" s="4">
        <v>12383.58</v>
      </c>
    </row>
    <row r="10" spans="1:4" x14ac:dyDescent="0.3">
      <c r="A10" s="7">
        <v>46117</v>
      </c>
      <c r="B10" t="s">
        <v>155</v>
      </c>
      <c r="C10" t="s">
        <v>128</v>
      </c>
      <c r="D10" s="4">
        <v>12669.26</v>
      </c>
    </row>
    <row r="11" spans="1:4" x14ac:dyDescent="0.3">
      <c r="A11" s="7">
        <v>46343</v>
      </c>
      <c r="B11" t="s">
        <v>140</v>
      </c>
      <c r="C11" t="s">
        <v>128</v>
      </c>
      <c r="D11" s="4">
        <v>7509.09</v>
      </c>
    </row>
    <row r="12" spans="1:4" x14ac:dyDescent="0.3">
      <c r="A12" s="7">
        <v>46344</v>
      </c>
      <c r="B12" t="s">
        <v>150</v>
      </c>
      <c r="C12" t="s">
        <v>116</v>
      </c>
      <c r="D12" s="4">
        <v>1270.57</v>
      </c>
    </row>
    <row r="13" spans="1:4" x14ac:dyDescent="0.3">
      <c r="A13" s="7">
        <v>46294</v>
      </c>
      <c r="B13" t="s">
        <v>117</v>
      </c>
      <c r="C13" t="s">
        <v>116</v>
      </c>
      <c r="D13" s="4">
        <v>668.52</v>
      </c>
    </row>
    <row r="14" spans="1:4" x14ac:dyDescent="0.3">
      <c r="A14" s="7">
        <v>46161</v>
      </c>
      <c r="B14" t="s">
        <v>144</v>
      </c>
      <c r="C14" t="s">
        <v>116</v>
      </c>
      <c r="D14" s="4">
        <v>11214.17</v>
      </c>
    </row>
    <row r="15" spans="1:4" x14ac:dyDescent="0.3">
      <c r="A15" s="7">
        <v>46300</v>
      </c>
      <c r="B15" t="s">
        <v>153</v>
      </c>
      <c r="C15" t="s">
        <v>122</v>
      </c>
      <c r="D15" s="4">
        <v>9267.39</v>
      </c>
    </row>
    <row r="16" spans="1:4" x14ac:dyDescent="0.3">
      <c r="A16" s="7">
        <v>46373</v>
      </c>
      <c r="B16" t="s">
        <v>138</v>
      </c>
      <c r="C16" t="s">
        <v>122</v>
      </c>
      <c r="D16" s="4">
        <v>1433.2</v>
      </c>
    </row>
    <row r="17" spans="1:4" x14ac:dyDescent="0.3">
      <c r="A17" s="7">
        <v>46051</v>
      </c>
      <c r="B17" t="s">
        <v>117</v>
      </c>
      <c r="C17" t="s">
        <v>116</v>
      </c>
      <c r="D17" s="4">
        <v>8308.57</v>
      </c>
    </row>
    <row r="18" spans="1:4" x14ac:dyDescent="0.3">
      <c r="A18" s="7">
        <v>46049</v>
      </c>
      <c r="B18" t="s">
        <v>140</v>
      </c>
      <c r="C18" t="s">
        <v>128</v>
      </c>
      <c r="D18" s="4">
        <v>1908.82</v>
      </c>
    </row>
    <row r="19" spans="1:4" x14ac:dyDescent="0.3">
      <c r="A19" s="7">
        <v>46261</v>
      </c>
      <c r="B19" t="s">
        <v>140</v>
      </c>
      <c r="C19" t="s">
        <v>128</v>
      </c>
      <c r="D19" s="4">
        <v>9963.27</v>
      </c>
    </row>
    <row r="20" spans="1:4" x14ac:dyDescent="0.3">
      <c r="A20" s="7">
        <v>46210</v>
      </c>
      <c r="B20" t="s">
        <v>140</v>
      </c>
      <c r="C20" t="s">
        <v>128</v>
      </c>
      <c r="D20" s="4">
        <v>2927.99</v>
      </c>
    </row>
    <row r="21" spans="1:4" x14ac:dyDescent="0.3">
      <c r="A21" s="7">
        <v>46383</v>
      </c>
      <c r="B21" t="s">
        <v>123</v>
      </c>
      <c r="C21" t="s">
        <v>120</v>
      </c>
      <c r="D21" s="4">
        <v>1212.04</v>
      </c>
    </row>
    <row r="22" spans="1:4" x14ac:dyDescent="0.3">
      <c r="A22" s="7">
        <v>46093</v>
      </c>
      <c r="B22" t="s">
        <v>138</v>
      </c>
      <c r="C22" t="s">
        <v>122</v>
      </c>
      <c r="D22" s="4">
        <v>15702.84</v>
      </c>
    </row>
    <row r="23" spans="1:4" x14ac:dyDescent="0.3">
      <c r="A23" s="7">
        <v>46299</v>
      </c>
      <c r="B23" t="s">
        <v>125</v>
      </c>
      <c r="C23" t="s">
        <v>122</v>
      </c>
      <c r="D23" s="4">
        <v>1949.89</v>
      </c>
    </row>
    <row r="24" spans="1:4" x14ac:dyDescent="0.3">
      <c r="A24" s="7">
        <v>46320</v>
      </c>
      <c r="B24" t="s">
        <v>126</v>
      </c>
      <c r="C24" t="s">
        <v>116</v>
      </c>
      <c r="D24" s="4">
        <v>13957.43</v>
      </c>
    </row>
    <row r="25" spans="1:4" x14ac:dyDescent="0.3">
      <c r="A25" s="7">
        <v>46138</v>
      </c>
      <c r="B25" t="s">
        <v>138</v>
      </c>
      <c r="C25" t="s">
        <v>122</v>
      </c>
      <c r="D25" s="4">
        <v>5229.3500000000004</v>
      </c>
    </row>
    <row r="26" spans="1:4" x14ac:dyDescent="0.3">
      <c r="A26" s="7">
        <v>46280</v>
      </c>
      <c r="B26" t="s">
        <v>154</v>
      </c>
      <c r="C26" t="s">
        <v>128</v>
      </c>
      <c r="D26" s="4">
        <v>10931.59</v>
      </c>
    </row>
    <row r="27" spans="1:4" x14ac:dyDescent="0.3">
      <c r="A27" s="7">
        <v>46050</v>
      </c>
      <c r="B27" t="s">
        <v>154</v>
      </c>
      <c r="C27" t="s">
        <v>128</v>
      </c>
      <c r="D27" s="4">
        <v>1154.4000000000001</v>
      </c>
    </row>
    <row r="28" spans="1:4" x14ac:dyDescent="0.3">
      <c r="A28" s="7">
        <v>46254</v>
      </c>
      <c r="B28" t="s">
        <v>139</v>
      </c>
      <c r="C28" t="s">
        <v>120</v>
      </c>
      <c r="D28" s="4">
        <v>7856.7</v>
      </c>
    </row>
    <row r="29" spans="1:4" x14ac:dyDescent="0.3">
      <c r="A29" s="7">
        <v>46085</v>
      </c>
      <c r="B29" t="s">
        <v>141</v>
      </c>
      <c r="C29" t="s">
        <v>116</v>
      </c>
      <c r="D29" s="4">
        <v>7602.1</v>
      </c>
    </row>
    <row r="30" spans="1:4" x14ac:dyDescent="0.3">
      <c r="A30" s="7">
        <v>46370</v>
      </c>
      <c r="B30" t="s">
        <v>124</v>
      </c>
      <c r="C30" t="s">
        <v>120</v>
      </c>
      <c r="D30" s="4">
        <v>13232.26</v>
      </c>
    </row>
    <row r="31" spans="1:4" x14ac:dyDescent="0.3">
      <c r="A31" s="7">
        <v>46254</v>
      </c>
      <c r="B31" t="s">
        <v>130</v>
      </c>
      <c r="C31" t="s">
        <v>116</v>
      </c>
      <c r="D31" s="4">
        <v>9992.08</v>
      </c>
    </row>
    <row r="32" spans="1:4" x14ac:dyDescent="0.3">
      <c r="A32" s="7">
        <v>46119</v>
      </c>
      <c r="B32" t="s">
        <v>121</v>
      </c>
      <c r="C32" t="s">
        <v>122</v>
      </c>
      <c r="D32" s="4">
        <v>14286.67</v>
      </c>
    </row>
    <row r="33" spans="1:4" x14ac:dyDescent="0.3">
      <c r="A33" s="7">
        <v>46067</v>
      </c>
      <c r="B33" t="s">
        <v>129</v>
      </c>
      <c r="C33" t="s">
        <v>120</v>
      </c>
      <c r="D33" s="4">
        <v>1420.7</v>
      </c>
    </row>
    <row r="34" spans="1:4" x14ac:dyDescent="0.3">
      <c r="A34" s="7">
        <v>46170</v>
      </c>
      <c r="B34" t="s">
        <v>119</v>
      </c>
      <c r="C34" t="s">
        <v>120</v>
      </c>
      <c r="D34" s="4">
        <v>15338.37</v>
      </c>
    </row>
    <row r="35" spans="1:4" x14ac:dyDescent="0.3">
      <c r="A35" s="7">
        <v>46078</v>
      </c>
      <c r="B35" t="s">
        <v>121</v>
      </c>
      <c r="C35" t="s">
        <v>122</v>
      </c>
      <c r="D35" s="4">
        <v>2761.54</v>
      </c>
    </row>
    <row r="36" spans="1:4" x14ac:dyDescent="0.3">
      <c r="A36" s="7">
        <v>46379</v>
      </c>
      <c r="B36" t="s">
        <v>145</v>
      </c>
      <c r="C36" t="s">
        <v>120</v>
      </c>
      <c r="D36" s="4">
        <v>2495.0700000000002</v>
      </c>
    </row>
    <row r="37" spans="1:4" x14ac:dyDescent="0.3">
      <c r="A37" s="7">
        <v>46127</v>
      </c>
      <c r="B37" t="s">
        <v>146</v>
      </c>
      <c r="C37" t="s">
        <v>128</v>
      </c>
      <c r="D37" s="4">
        <v>8402.9</v>
      </c>
    </row>
    <row r="38" spans="1:4" x14ac:dyDescent="0.3">
      <c r="A38" s="7">
        <v>46173</v>
      </c>
      <c r="B38" t="s">
        <v>159</v>
      </c>
      <c r="C38" t="s">
        <v>116</v>
      </c>
      <c r="D38" s="4">
        <v>6752.11</v>
      </c>
    </row>
    <row r="39" spans="1:4" x14ac:dyDescent="0.3">
      <c r="A39" s="7">
        <v>46090</v>
      </c>
      <c r="B39" t="s">
        <v>124</v>
      </c>
      <c r="C39" t="s">
        <v>120</v>
      </c>
      <c r="D39" s="4">
        <v>7661.39</v>
      </c>
    </row>
    <row r="40" spans="1:4" x14ac:dyDescent="0.3">
      <c r="A40" s="7">
        <v>46250</v>
      </c>
      <c r="B40" t="s">
        <v>148</v>
      </c>
      <c r="C40" t="s">
        <v>120</v>
      </c>
      <c r="D40" s="4">
        <v>11842.69</v>
      </c>
    </row>
    <row r="41" spans="1:4" x14ac:dyDescent="0.3">
      <c r="A41" s="7">
        <v>46172</v>
      </c>
      <c r="B41" t="s">
        <v>159</v>
      </c>
      <c r="C41" t="s">
        <v>116</v>
      </c>
      <c r="D41" s="4">
        <v>3146.61</v>
      </c>
    </row>
    <row r="42" spans="1:4" x14ac:dyDescent="0.3">
      <c r="A42" s="7">
        <v>46141</v>
      </c>
      <c r="B42" t="s">
        <v>159</v>
      </c>
      <c r="C42" t="s">
        <v>116</v>
      </c>
      <c r="D42" s="4">
        <v>13383.92</v>
      </c>
    </row>
    <row r="43" spans="1:4" x14ac:dyDescent="0.3">
      <c r="A43" s="7">
        <v>46353</v>
      </c>
      <c r="B43" t="s">
        <v>141</v>
      </c>
      <c r="C43" t="s">
        <v>116</v>
      </c>
      <c r="D43" s="4">
        <v>5473.66</v>
      </c>
    </row>
    <row r="44" spans="1:4" x14ac:dyDescent="0.3">
      <c r="A44" s="7">
        <v>46198</v>
      </c>
      <c r="B44" t="s">
        <v>131</v>
      </c>
      <c r="C44" t="s">
        <v>122</v>
      </c>
      <c r="D44" s="4">
        <v>10543.8</v>
      </c>
    </row>
    <row r="45" spans="1:4" x14ac:dyDescent="0.3">
      <c r="A45" s="7">
        <v>46271</v>
      </c>
      <c r="B45" t="s">
        <v>136</v>
      </c>
      <c r="C45" t="s">
        <v>120</v>
      </c>
      <c r="D45" s="4">
        <v>9554.7099999999991</v>
      </c>
    </row>
    <row r="46" spans="1:4" x14ac:dyDescent="0.3">
      <c r="A46" s="7">
        <v>46303</v>
      </c>
      <c r="B46" t="s">
        <v>141</v>
      </c>
      <c r="C46" t="s">
        <v>116</v>
      </c>
      <c r="D46" s="4">
        <v>7207.31</v>
      </c>
    </row>
    <row r="47" spans="1:4" x14ac:dyDescent="0.3">
      <c r="A47" s="7">
        <v>46313</v>
      </c>
      <c r="B47" t="s">
        <v>149</v>
      </c>
      <c r="C47" t="s">
        <v>122</v>
      </c>
      <c r="D47" s="4">
        <v>2241.4699999999998</v>
      </c>
    </row>
    <row r="48" spans="1:4" x14ac:dyDescent="0.3">
      <c r="A48" s="7">
        <v>46110</v>
      </c>
      <c r="B48" t="s">
        <v>149</v>
      </c>
      <c r="C48" t="s">
        <v>122</v>
      </c>
      <c r="D48" s="4">
        <v>12659.89</v>
      </c>
    </row>
    <row r="49" spans="1:4" x14ac:dyDescent="0.3">
      <c r="A49" s="7">
        <v>46270</v>
      </c>
      <c r="B49" t="s">
        <v>147</v>
      </c>
      <c r="C49" t="s">
        <v>120</v>
      </c>
      <c r="D49" s="4">
        <v>6044.65</v>
      </c>
    </row>
    <row r="50" spans="1:4" x14ac:dyDescent="0.3">
      <c r="A50" s="7">
        <v>46047</v>
      </c>
      <c r="B50" t="s">
        <v>130</v>
      </c>
      <c r="C50" t="s">
        <v>116</v>
      </c>
      <c r="D50" s="4">
        <v>2501.16</v>
      </c>
    </row>
    <row r="51" spans="1:4" x14ac:dyDescent="0.3">
      <c r="A51" s="7">
        <v>46256</v>
      </c>
      <c r="B51" t="s">
        <v>130</v>
      </c>
      <c r="C51" t="s">
        <v>116</v>
      </c>
      <c r="D51" s="4">
        <v>15305.99</v>
      </c>
    </row>
    <row r="52" spans="1:4" x14ac:dyDescent="0.3">
      <c r="A52" s="7">
        <v>46105</v>
      </c>
      <c r="B52" t="s">
        <v>153</v>
      </c>
      <c r="C52" t="s">
        <v>122</v>
      </c>
      <c r="D52" s="4">
        <v>11432.22</v>
      </c>
    </row>
    <row r="53" spans="1:4" x14ac:dyDescent="0.3">
      <c r="A53" s="7">
        <v>46116</v>
      </c>
      <c r="B53" t="s">
        <v>130</v>
      </c>
      <c r="C53" t="s">
        <v>116</v>
      </c>
      <c r="D53" s="4">
        <v>15575.32</v>
      </c>
    </row>
    <row r="54" spans="1:4" x14ac:dyDescent="0.3">
      <c r="A54" s="7">
        <v>46105</v>
      </c>
      <c r="B54" t="s">
        <v>146</v>
      </c>
      <c r="C54" t="s">
        <v>128</v>
      </c>
      <c r="D54" s="4">
        <v>3920.8</v>
      </c>
    </row>
    <row r="55" spans="1:4" x14ac:dyDescent="0.3">
      <c r="A55" s="7">
        <v>46185</v>
      </c>
      <c r="B55" t="s">
        <v>134</v>
      </c>
      <c r="C55" t="s">
        <v>120</v>
      </c>
      <c r="D55" s="4">
        <v>9256.2199999999993</v>
      </c>
    </row>
    <row r="56" spans="1:4" x14ac:dyDescent="0.3">
      <c r="A56" s="7">
        <v>46156</v>
      </c>
      <c r="B56" t="s">
        <v>151</v>
      </c>
      <c r="C56" t="s">
        <v>120</v>
      </c>
      <c r="D56" s="4">
        <v>6009.3</v>
      </c>
    </row>
    <row r="57" spans="1:4" x14ac:dyDescent="0.3">
      <c r="A57" s="7">
        <v>46310</v>
      </c>
      <c r="B57" t="s">
        <v>138</v>
      </c>
      <c r="C57" t="s">
        <v>122</v>
      </c>
      <c r="D57" s="4">
        <v>11358.08</v>
      </c>
    </row>
    <row r="58" spans="1:4" x14ac:dyDescent="0.3">
      <c r="A58" s="7">
        <v>46199</v>
      </c>
      <c r="B58" t="s">
        <v>136</v>
      </c>
      <c r="C58" t="s">
        <v>120</v>
      </c>
      <c r="D58" s="4">
        <v>2494.92</v>
      </c>
    </row>
    <row r="59" spans="1:4" x14ac:dyDescent="0.3">
      <c r="A59" s="7">
        <v>46299</v>
      </c>
      <c r="B59" t="s">
        <v>151</v>
      </c>
      <c r="C59" t="s">
        <v>120</v>
      </c>
      <c r="D59" s="4">
        <v>15611.13</v>
      </c>
    </row>
    <row r="60" spans="1:4" x14ac:dyDescent="0.3">
      <c r="A60" s="7">
        <v>46177</v>
      </c>
      <c r="B60" t="s">
        <v>124</v>
      </c>
      <c r="C60" t="s">
        <v>120</v>
      </c>
      <c r="D60" s="4">
        <v>2075.62</v>
      </c>
    </row>
    <row r="61" spans="1:4" x14ac:dyDescent="0.3">
      <c r="A61" s="7">
        <v>46230</v>
      </c>
      <c r="B61" t="s">
        <v>159</v>
      </c>
      <c r="C61" t="s">
        <v>116</v>
      </c>
      <c r="D61" s="4">
        <v>14907.44</v>
      </c>
    </row>
    <row r="62" spans="1:4" x14ac:dyDescent="0.3">
      <c r="A62" s="7">
        <v>46257</v>
      </c>
      <c r="B62" t="s">
        <v>146</v>
      </c>
      <c r="C62" t="s">
        <v>128</v>
      </c>
      <c r="D62" s="4">
        <v>14855.81</v>
      </c>
    </row>
    <row r="63" spans="1:4" x14ac:dyDescent="0.3">
      <c r="A63" s="7">
        <v>46025</v>
      </c>
      <c r="B63" t="s">
        <v>146</v>
      </c>
      <c r="C63" t="s">
        <v>128</v>
      </c>
      <c r="D63" s="4">
        <v>15526.88</v>
      </c>
    </row>
    <row r="64" spans="1:4" x14ac:dyDescent="0.3">
      <c r="A64" s="7">
        <v>46282</v>
      </c>
      <c r="B64" t="s">
        <v>124</v>
      </c>
      <c r="C64" t="s">
        <v>120</v>
      </c>
      <c r="D64" s="4">
        <v>5400.8</v>
      </c>
    </row>
    <row r="65" spans="1:4" x14ac:dyDescent="0.3">
      <c r="A65" s="7">
        <v>46265</v>
      </c>
      <c r="B65" t="s">
        <v>130</v>
      </c>
      <c r="C65" t="s">
        <v>116</v>
      </c>
      <c r="D65" s="4">
        <v>14351.24</v>
      </c>
    </row>
    <row r="66" spans="1:4" x14ac:dyDescent="0.3">
      <c r="A66" s="7">
        <v>46364</v>
      </c>
      <c r="B66" t="s">
        <v>133</v>
      </c>
      <c r="C66" t="s">
        <v>128</v>
      </c>
      <c r="D66" s="4">
        <v>2481.27</v>
      </c>
    </row>
    <row r="67" spans="1:4" x14ac:dyDescent="0.3">
      <c r="A67" s="7">
        <v>46249</v>
      </c>
      <c r="B67" t="s">
        <v>133</v>
      </c>
      <c r="C67" t="s">
        <v>128</v>
      </c>
      <c r="D67" s="4">
        <v>5518.15</v>
      </c>
    </row>
    <row r="68" spans="1:4" x14ac:dyDescent="0.3">
      <c r="A68" s="7">
        <v>46268</v>
      </c>
      <c r="B68" t="s">
        <v>145</v>
      </c>
      <c r="C68" t="s">
        <v>120</v>
      </c>
      <c r="D68" s="4">
        <v>14417.77</v>
      </c>
    </row>
    <row r="69" spans="1:4" x14ac:dyDescent="0.3">
      <c r="A69" s="7">
        <v>46370</v>
      </c>
      <c r="B69" t="s">
        <v>137</v>
      </c>
      <c r="C69" t="s">
        <v>128</v>
      </c>
      <c r="D69" s="4">
        <v>8882.7199999999993</v>
      </c>
    </row>
    <row r="70" spans="1:4" x14ac:dyDescent="0.3">
      <c r="A70" s="7">
        <v>46035</v>
      </c>
      <c r="B70" t="s">
        <v>149</v>
      </c>
      <c r="C70" t="s">
        <v>122</v>
      </c>
      <c r="D70" s="4">
        <v>6515.83</v>
      </c>
    </row>
    <row r="71" spans="1:4" x14ac:dyDescent="0.3">
      <c r="A71" s="7">
        <v>46251</v>
      </c>
      <c r="B71" t="s">
        <v>147</v>
      </c>
      <c r="C71" t="s">
        <v>120</v>
      </c>
      <c r="D71" s="4">
        <v>5814.69</v>
      </c>
    </row>
    <row r="72" spans="1:4" x14ac:dyDescent="0.3">
      <c r="A72" s="7">
        <v>46051</v>
      </c>
      <c r="B72" t="s">
        <v>136</v>
      </c>
      <c r="C72" t="s">
        <v>120</v>
      </c>
      <c r="D72" s="4">
        <v>9789.2000000000007</v>
      </c>
    </row>
    <row r="73" spans="1:4" x14ac:dyDescent="0.3">
      <c r="A73" s="7">
        <v>46321</v>
      </c>
      <c r="B73" t="s">
        <v>118</v>
      </c>
      <c r="C73" t="s">
        <v>116</v>
      </c>
      <c r="D73" s="4">
        <v>8493.98</v>
      </c>
    </row>
    <row r="74" spans="1:4" x14ac:dyDescent="0.3">
      <c r="A74" s="7">
        <v>46123</v>
      </c>
      <c r="B74" t="s">
        <v>154</v>
      </c>
      <c r="C74" t="s">
        <v>128</v>
      </c>
      <c r="D74" s="4">
        <v>507.4</v>
      </c>
    </row>
    <row r="75" spans="1:4" x14ac:dyDescent="0.3">
      <c r="A75" s="7">
        <v>46251</v>
      </c>
      <c r="B75" t="s">
        <v>124</v>
      </c>
      <c r="C75" t="s">
        <v>120</v>
      </c>
      <c r="D75" s="4">
        <v>10881.45</v>
      </c>
    </row>
    <row r="76" spans="1:4" x14ac:dyDescent="0.3">
      <c r="A76" s="7">
        <v>46285</v>
      </c>
      <c r="B76" t="s">
        <v>158</v>
      </c>
      <c r="C76" t="s">
        <v>120</v>
      </c>
      <c r="D76" s="4">
        <v>6401.61</v>
      </c>
    </row>
    <row r="77" spans="1:4" x14ac:dyDescent="0.3">
      <c r="A77" s="7">
        <v>46185</v>
      </c>
      <c r="B77" t="s">
        <v>156</v>
      </c>
      <c r="C77" t="s">
        <v>128</v>
      </c>
      <c r="D77" s="4">
        <v>9710.27</v>
      </c>
    </row>
    <row r="78" spans="1:4" x14ac:dyDescent="0.3">
      <c r="A78" s="7">
        <v>46051</v>
      </c>
      <c r="B78" t="s">
        <v>132</v>
      </c>
      <c r="C78" t="s">
        <v>128</v>
      </c>
      <c r="D78" s="4">
        <v>14548.88</v>
      </c>
    </row>
    <row r="79" spans="1:4" x14ac:dyDescent="0.3">
      <c r="A79" s="7">
        <v>46226</v>
      </c>
      <c r="B79" t="s">
        <v>140</v>
      </c>
      <c r="C79" t="s">
        <v>128</v>
      </c>
      <c r="D79" s="4">
        <v>2494.94</v>
      </c>
    </row>
    <row r="80" spans="1:4" x14ac:dyDescent="0.3">
      <c r="A80" s="7">
        <v>46212</v>
      </c>
      <c r="B80" t="s">
        <v>144</v>
      </c>
      <c r="C80" t="s">
        <v>116</v>
      </c>
      <c r="D80" s="4">
        <v>6269.88</v>
      </c>
    </row>
    <row r="81" spans="1:4" x14ac:dyDescent="0.3">
      <c r="A81" s="7">
        <v>46168</v>
      </c>
      <c r="B81" t="s">
        <v>150</v>
      </c>
      <c r="C81" t="s">
        <v>116</v>
      </c>
      <c r="D81" s="4">
        <v>5616.99</v>
      </c>
    </row>
    <row r="82" spans="1:4" x14ac:dyDescent="0.3">
      <c r="A82" s="7">
        <v>46251</v>
      </c>
      <c r="B82" t="s">
        <v>149</v>
      </c>
      <c r="C82" t="s">
        <v>122</v>
      </c>
      <c r="D82" s="4">
        <v>14007.68</v>
      </c>
    </row>
    <row r="83" spans="1:4" x14ac:dyDescent="0.3">
      <c r="A83" s="7">
        <v>46133</v>
      </c>
      <c r="B83" t="s">
        <v>158</v>
      </c>
      <c r="C83" t="s">
        <v>120</v>
      </c>
      <c r="D83" s="4">
        <v>11686.48</v>
      </c>
    </row>
    <row r="84" spans="1:4" x14ac:dyDescent="0.3">
      <c r="A84" s="7">
        <v>46235</v>
      </c>
      <c r="B84" t="s">
        <v>151</v>
      </c>
      <c r="C84" t="s">
        <v>120</v>
      </c>
      <c r="D84" s="4">
        <v>12888.42</v>
      </c>
    </row>
    <row r="85" spans="1:4" x14ac:dyDescent="0.3">
      <c r="A85" s="7">
        <v>46106</v>
      </c>
      <c r="B85" t="s">
        <v>130</v>
      </c>
      <c r="C85" t="s">
        <v>116</v>
      </c>
      <c r="D85" s="4">
        <v>12919.91</v>
      </c>
    </row>
    <row r="86" spans="1:4" x14ac:dyDescent="0.3">
      <c r="A86" s="7">
        <v>46235</v>
      </c>
      <c r="B86" t="s">
        <v>144</v>
      </c>
      <c r="C86" t="s">
        <v>116</v>
      </c>
      <c r="D86" s="4">
        <v>2362.15</v>
      </c>
    </row>
    <row r="87" spans="1:4" x14ac:dyDescent="0.3">
      <c r="A87" s="7">
        <v>46329</v>
      </c>
      <c r="B87" t="s">
        <v>131</v>
      </c>
      <c r="C87" t="s">
        <v>122</v>
      </c>
      <c r="D87" s="4">
        <v>1514.34</v>
      </c>
    </row>
    <row r="88" spans="1:4" x14ac:dyDescent="0.3">
      <c r="A88" s="7">
        <v>46178</v>
      </c>
      <c r="B88" t="s">
        <v>138</v>
      </c>
      <c r="C88" t="s">
        <v>122</v>
      </c>
      <c r="D88" s="4">
        <v>7672.62</v>
      </c>
    </row>
    <row r="89" spans="1:4" x14ac:dyDescent="0.3">
      <c r="A89" s="7">
        <v>46194</v>
      </c>
      <c r="B89" t="s">
        <v>141</v>
      </c>
      <c r="C89" t="s">
        <v>116</v>
      </c>
      <c r="D89" s="4">
        <v>1197.94</v>
      </c>
    </row>
    <row r="90" spans="1:4" x14ac:dyDescent="0.3">
      <c r="A90" s="7">
        <v>46215</v>
      </c>
      <c r="B90" t="s">
        <v>131</v>
      </c>
      <c r="C90" t="s">
        <v>122</v>
      </c>
      <c r="D90" s="4" t="s">
        <v>188</v>
      </c>
    </row>
    <row r="91" spans="1:4" x14ac:dyDescent="0.3">
      <c r="A91" s="7">
        <v>46350</v>
      </c>
      <c r="B91" t="s">
        <v>148</v>
      </c>
      <c r="C91" t="s">
        <v>120</v>
      </c>
      <c r="D91" s="4">
        <v>14643.41</v>
      </c>
    </row>
    <row r="92" spans="1:4" x14ac:dyDescent="0.3">
      <c r="A92" s="7">
        <v>46112</v>
      </c>
      <c r="B92" t="s">
        <v>148</v>
      </c>
      <c r="C92" t="s">
        <v>120</v>
      </c>
      <c r="D92" s="4">
        <v>8959.65</v>
      </c>
    </row>
    <row r="93" spans="1:4" x14ac:dyDescent="0.3">
      <c r="A93" s="7">
        <v>46093</v>
      </c>
      <c r="B93" t="s">
        <v>133</v>
      </c>
      <c r="C93" t="s">
        <v>128</v>
      </c>
      <c r="D93" s="4">
        <v>3308.23</v>
      </c>
    </row>
    <row r="94" spans="1:4" x14ac:dyDescent="0.3">
      <c r="A94" s="7">
        <v>46171</v>
      </c>
      <c r="B94" t="s">
        <v>127</v>
      </c>
      <c r="C94" t="s">
        <v>128</v>
      </c>
      <c r="D94" s="4">
        <v>8928.7900000000009</v>
      </c>
    </row>
    <row r="95" spans="1:4" x14ac:dyDescent="0.3">
      <c r="A95" s="7">
        <v>46177</v>
      </c>
      <c r="B95" t="s">
        <v>134</v>
      </c>
      <c r="C95" t="s">
        <v>120</v>
      </c>
      <c r="D95" s="4">
        <v>13378.18</v>
      </c>
    </row>
    <row r="96" spans="1:4" x14ac:dyDescent="0.3">
      <c r="A96" s="7">
        <v>46275</v>
      </c>
      <c r="B96" t="s">
        <v>149</v>
      </c>
      <c r="C96" t="s">
        <v>122</v>
      </c>
      <c r="D96" s="4">
        <v>9014.6</v>
      </c>
    </row>
    <row r="97" spans="1:4" x14ac:dyDescent="0.3">
      <c r="A97" s="7">
        <v>46137</v>
      </c>
      <c r="B97" t="s">
        <v>129</v>
      </c>
      <c r="C97" t="s">
        <v>120</v>
      </c>
      <c r="D97" s="4">
        <v>575.41</v>
      </c>
    </row>
    <row r="98" spans="1:4" x14ac:dyDescent="0.3">
      <c r="A98" s="7">
        <v>46101</v>
      </c>
      <c r="B98" t="s">
        <v>150</v>
      </c>
      <c r="C98" t="s">
        <v>116</v>
      </c>
      <c r="D98" s="4">
        <v>4313.43</v>
      </c>
    </row>
    <row r="99" spans="1:4" x14ac:dyDescent="0.3">
      <c r="A99" s="7">
        <v>46086</v>
      </c>
      <c r="B99" t="s">
        <v>126</v>
      </c>
      <c r="C99" t="s">
        <v>116</v>
      </c>
      <c r="D99" s="4">
        <v>10512.94</v>
      </c>
    </row>
    <row r="100" spans="1:4" x14ac:dyDescent="0.3">
      <c r="A100" s="7">
        <v>46236</v>
      </c>
      <c r="B100" t="s">
        <v>130</v>
      </c>
      <c r="C100" t="s">
        <v>116</v>
      </c>
      <c r="D100" s="4">
        <v>2993.05</v>
      </c>
    </row>
    <row r="101" spans="1:4" x14ac:dyDescent="0.3">
      <c r="A101" s="7">
        <v>46037</v>
      </c>
      <c r="B101" t="s">
        <v>125</v>
      </c>
      <c r="C101" t="s">
        <v>122</v>
      </c>
      <c r="D101" s="4">
        <v>2041.77</v>
      </c>
    </row>
    <row r="102" spans="1:4" x14ac:dyDescent="0.3">
      <c r="A102" s="7">
        <v>46275</v>
      </c>
      <c r="B102" t="s">
        <v>154</v>
      </c>
      <c r="C102" t="s">
        <v>128</v>
      </c>
      <c r="D102" s="4">
        <v>15910.18</v>
      </c>
    </row>
    <row r="103" spans="1:4" x14ac:dyDescent="0.3">
      <c r="A103" s="7">
        <v>46329</v>
      </c>
      <c r="B103" t="s">
        <v>121</v>
      </c>
      <c r="C103" t="s">
        <v>122</v>
      </c>
      <c r="D103" s="4">
        <v>11967.21</v>
      </c>
    </row>
    <row r="104" spans="1:4" x14ac:dyDescent="0.3">
      <c r="A104" s="7">
        <v>46269</v>
      </c>
      <c r="B104" t="s">
        <v>131</v>
      </c>
      <c r="C104" t="s">
        <v>122</v>
      </c>
      <c r="D104" s="4">
        <v>9114.36</v>
      </c>
    </row>
    <row r="105" spans="1:4" x14ac:dyDescent="0.3">
      <c r="A105" s="7">
        <v>46344</v>
      </c>
      <c r="B105" t="s">
        <v>135</v>
      </c>
      <c r="C105" t="s">
        <v>116</v>
      </c>
      <c r="D105" s="4">
        <v>11021.72</v>
      </c>
    </row>
    <row r="106" spans="1:4" x14ac:dyDescent="0.3">
      <c r="A106" s="7">
        <v>46214</v>
      </c>
      <c r="B106" t="s">
        <v>145</v>
      </c>
      <c r="C106" t="s">
        <v>120</v>
      </c>
      <c r="D106" s="4">
        <v>8273.5400000000009</v>
      </c>
    </row>
    <row r="107" spans="1:4" x14ac:dyDescent="0.3">
      <c r="A107" s="7">
        <v>46031</v>
      </c>
      <c r="B107" t="s">
        <v>133</v>
      </c>
      <c r="C107" t="s">
        <v>128</v>
      </c>
      <c r="D107" s="4">
        <v>13547.69</v>
      </c>
    </row>
    <row r="108" spans="1:4" x14ac:dyDescent="0.3">
      <c r="A108" s="7">
        <v>46320</v>
      </c>
      <c r="B108" t="s">
        <v>152</v>
      </c>
      <c r="C108" t="s">
        <v>116</v>
      </c>
      <c r="D108" s="4">
        <v>1077.3900000000001</v>
      </c>
    </row>
    <row r="109" spans="1:4" x14ac:dyDescent="0.3">
      <c r="A109" s="7">
        <v>46259</v>
      </c>
      <c r="B109" t="s">
        <v>136</v>
      </c>
      <c r="C109" t="s">
        <v>120</v>
      </c>
      <c r="D109" s="4">
        <v>14071.33</v>
      </c>
    </row>
    <row r="110" spans="1:4" x14ac:dyDescent="0.3">
      <c r="A110" s="7">
        <v>46205</v>
      </c>
      <c r="B110" t="s">
        <v>137</v>
      </c>
      <c r="C110" t="s">
        <v>128</v>
      </c>
      <c r="D110" s="4">
        <v>2738.45</v>
      </c>
    </row>
    <row r="111" spans="1:4" x14ac:dyDescent="0.3">
      <c r="A111" s="7">
        <v>46207</v>
      </c>
      <c r="B111" t="s">
        <v>154</v>
      </c>
      <c r="C111" t="s">
        <v>128</v>
      </c>
      <c r="D111" s="4">
        <v>6799.3</v>
      </c>
    </row>
    <row r="112" spans="1:4" x14ac:dyDescent="0.3">
      <c r="A112" s="7">
        <v>46047</v>
      </c>
      <c r="B112" t="s">
        <v>139</v>
      </c>
      <c r="C112" t="s">
        <v>120</v>
      </c>
      <c r="D112" s="4">
        <v>4744.22</v>
      </c>
    </row>
    <row r="113" spans="1:4" x14ac:dyDescent="0.3">
      <c r="A113" s="7">
        <v>46350</v>
      </c>
      <c r="B113" t="s">
        <v>141</v>
      </c>
      <c r="C113" t="s">
        <v>116</v>
      </c>
      <c r="D113" s="4">
        <v>14990.62</v>
      </c>
    </row>
    <row r="114" spans="1:4" x14ac:dyDescent="0.3">
      <c r="A114" s="7">
        <v>46122</v>
      </c>
      <c r="B114" t="s">
        <v>132</v>
      </c>
      <c r="C114" t="s">
        <v>128</v>
      </c>
      <c r="D114" s="4">
        <v>12298.11</v>
      </c>
    </row>
    <row r="115" spans="1:4" x14ac:dyDescent="0.3">
      <c r="A115" s="7">
        <v>46071</v>
      </c>
      <c r="B115" t="s">
        <v>119</v>
      </c>
      <c r="C115" t="s">
        <v>120</v>
      </c>
      <c r="D115" s="4">
        <v>9640.39</v>
      </c>
    </row>
    <row r="116" spans="1:4" x14ac:dyDescent="0.3">
      <c r="A116" s="7">
        <v>46301</v>
      </c>
      <c r="B116" t="s">
        <v>152</v>
      </c>
      <c r="C116" t="s">
        <v>116</v>
      </c>
      <c r="D116" s="4">
        <v>5263.32</v>
      </c>
    </row>
    <row r="117" spans="1:4" x14ac:dyDescent="0.3">
      <c r="A117" s="7">
        <v>46373</v>
      </c>
      <c r="B117" t="s">
        <v>136</v>
      </c>
      <c r="C117" t="s">
        <v>120</v>
      </c>
      <c r="D117" s="4">
        <v>12828.05</v>
      </c>
    </row>
    <row r="118" spans="1:4" x14ac:dyDescent="0.3">
      <c r="A118" s="7">
        <v>46373</v>
      </c>
      <c r="B118" t="s">
        <v>154</v>
      </c>
      <c r="C118" t="s">
        <v>128</v>
      </c>
      <c r="D118" s="4">
        <v>11212.79</v>
      </c>
    </row>
    <row r="119" spans="1:4" x14ac:dyDescent="0.3">
      <c r="A119" s="7">
        <v>46072</v>
      </c>
      <c r="B119" t="s">
        <v>140</v>
      </c>
      <c r="C119" t="s">
        <v>128</v>
      </c>
      <c r="D119" s="4">
        <v>8620.56</v>
      </c>
    </row>
    <row r="120" spans="1:4" x14ac:dyDescent="0.3">
      <c r="A120" s="7">
        <v>46096</v>
      </c>
      <c r="B120" t="s">
        <v>139</v>
      </c>
      <c r="C120" t="s">
        <v>120</v>
      </c>
      <c r="D120" s="4">
        <v>354.43</v>
      </c>
    </row>
    <row r="121" spans="1:4" x14ac:dyDescent="0.3">
      <c r="A121" s="7">
        <v>46167</v>
      </c>
      <c r="B121" t="s">
        <v>141</v>
      </c>
      <c r="C121" t="s">
        <v>116</v>
      </c>
      <c r="D121" s="4">
        <v>6062.27</v>
      </c>
    </row>
    <row r="122" spans="1:4" x14ac:dyDescent="0.3">
      <c r="A122" s="7">
        <v>46233</v>
      </c>
      <c r="B122" t="s">
        <v>156</v>
      </c>
      <c r="C122" t="s">
        <v>128</v>
      </c>
      <c r="D122" s="4">
        <v>5543.96</v>
      </c>
    </row>
    <row r="123" spans="1:4" x14ac:dyDescent="0.3">
      <c r="A123" s="7">
        <v>46075</v>
      </c>
      <c r="B123" t="s">
        <v>152</v>
      </c>
      <c r="C123" t="s">
        <v>116</v>
      </c>
      <c r="D123" s="4">
        <v>3603.34</v>
      </c>
    </row>
    <row r="124" spans="1:4" x14ac:dyDescent="0.3">
      <c r="A124" s="7">
        <v>46136</v>
      </c>
      <c r="B124" t="s">
        <v>132</v>
      </c>
      <c r="C124" t="s">
        <v>128</v>
      </c>
      <c r="D124" s="4">
        <v>13330.44</v>
      </c>
    </row>
    <row r="125" spans="1:4" x14ac:dyDescent="0.3">
      <c r="A125" s="7">
        <v>46337</v>
      </c>
      <c r="B125" t="s">
        <v>123</v>
      </c>
      <c r="C125" t="s">
        <v>120</v>
      </c>
      <c r="D125" s="4">
        <v>11081</v>
      </c>
    </row>
    <row r="126" spans="1:4" x14ac:dyDescent="0.3">
      <c r="A126" s="7">
        <v>46295</v>
      </c>
      <c r="B126" t="s">
        <v>141</v>
      </c>
      <c r="C126" t="s">
        <v>116</v>
      </c>
      <c r="D126" s="4">
        <v>11443.87</v>
      </c>
    </row>
    <row r="127" spans="1:4" x14ac:dyDescent="0.3">
      <c r="A127" s="7">
        <v>46236</v>
      </c>
      <c r="B127" t="s">
        <v>145</v>
      </c>
      <c r="C127" t="s">
        <v>120</v>
      </c>
      <c r="D127" s="4">
        <v>7448.79</v>
      </c>
    </row>
    <row r="128" spans="1:4" x14ac:dyDescent="0.3">
      <c r="A128" s="7">
        <v>46082</v>
      </c>
      <c r="B128" t="s">
        <v>121</v>
      </c>
      <c r="C128" t="s">
        <v>122</v>
      </c>
      <c r="D128" s="4">
        <v>13128.69</v>
      </c>
    </row>
    <row r="129" spans="1:4" x14ac:dyDescent="0.3">
      <c r="A129" s="7">
        <v>46268</v>
      </c>
      <c r="B129" t="s">
        <v>159</v>
      </c>
      <c r="C129" t="s">
        <v>116</v>
      </c>
      <c r="D129" s="4">
        <v>5669.13</v>
      </c>
    </row>
    <row r="130" spans="1:4" x14ac:dyDescent="0.3">
      <c r="A130" s="7">
        <v>46094</v>
      </c>
      <c r="B130" t="s">
        <v>140</v>
      </c>
      <c r="C130" t="s">
        <v>128</v>
      </c>
      <c r="D130" s="4">
        <v>13100.06</v>
      </c>
    </row>
    <row r="131" spans="1:4" x14ac:dyDescent="0.3">
      <c r="A131" s="7">
        <v>46290</v>
      </c>
      <c r="B131" t="s">
        <v>143</v>
      </c>
      <c r="C131" t="s">
        <v>122</v>
      </c>
      <c r="D131" s="4">
        <v>12252.89</v>
      </c>
    </row>
    <row r="132" spans="1:4" x14ac:dyDescent="0.3">
      <c r="A132" s="7">
        <v>46111</v>
      </c>
      <c r="B132" t="s">
        <v>117</v>
      </c>
      <c r="C132" t="s">
        <v>116</v>
      </c>
      <c r="D132" s="4">
        <v>11401.83</v>
      </c>
    </row>
    <row r="133" spans="1:4" x14ac:dyDescent="0.3">
      <c r="A133" s="7">
        <v>46083</v>
      </c>
      <c r="B133" t="s">
        <v>159</v>
      </c>
      <c r="C133" t="s">
        <v>116</v>
      </c>
      <c r="D133" s="4">
        <v>3674.37</v>
      </c>
    </row>
    <row r="134" spans="1:4" x14ac:dyDescent="0.3">
      <c r="A134" s="7">
        <v>46375</v>
      </c>
      <c r="B134" t="s">
        <v>146</v>
      </c>
      <c r="C134" t="s">
        <v>128</v>
      </c>
      <c r="D134" s="4">
        <v>3741.2</v>
      </c>
    </row>
    <row r="135" spans="1:4" x14ac:dyDescent="0.3">
      <c r="A135" s="7">
        <v>46130</v>
      </c>
      <c r="B135" t="s">
        <v>137</v>
      </c>
      <c r="C135" t="s">
        <v>128</v>
      </c>
      <c r="D135" s="4">
        <v>2213.96</v>
      </c>
    </row>
    <row r="136" spans="1:4" x14ac:dyDescent="0.3">
      <c r="A136" s="7">
        <v>46240</v>
      </c>
      <c r="B136" t="s">
        <v>158</v>
      </c>
      <c r="C136" t="s">
        <v>120</v>
      </c>
      <c r="D136" s="4">
        <v>11099.47</v>
      </c>
    </row>
    <row r="137" spans="1:4" x14ac:dyDescent="0.3">
      <c r="A137" s="7">
        <v>46062</v>
      </c>
      <c r="B137" t="s">
        <v>145</v>
      </c>
      <c r="C137" t="s">
        <v>120</v>
      </c>
      <c r="D137" s="4">
        <v>448.08</v>
      </c>
    </row>
    <row r="138" spans="1:4" x14ac:dyDescent="0.3">
      <c r="A138" s="7">
        <v>46243</v>
      </c>
      <c r="B138" t="s">
        <v>126</v>
      </c>
      <c r="C138" t="s">
        <v>116</v>
      </c>
      <c r="D138" s="4">
        <v>823.89</v>
      </c>
    </row>
    <row r="139" spans="1:4" x14ac:dyDescent="0.3">
      <c r="A139" s="7">
        <v>46039</v>
      </c>
      <c r="B139" t="s">
        <v>142</v>
      </c>
      <c r="C139" t="s">
        <v>120</v>
      </c>
      <c r="D139" s="4">
        <v>12719.92</v>
      </c>
    </row>
    <row r="140" spans="1:4" x14ac:dyDescent="0.3">
      <c r="A140" s="7">
        <v>46326</v>
      </c>
      <c r="B140" t="s">
        <v>132</v>
      </c>
      <c r="C140" t="s">
        <v>128</v>
      </c>
      <c r="D140" s="4">
        <v>1089.3499999999999</v>
      </c>
    </row>
    <row r="141" spans="1:4" x14ac:dyDescent="0.3">
      <c r="A141" s="7">
        <v>46152</v>
      </c>
      <c r="B141" t="s">
        <v>145</v>
      </c>
      <c r="C141" t="s">
        <v>120</v>
      </c>
      <c r="D141" s="4">
        <v>836.01</v>
      </c>
    </row>
    <row r="142" spans="1:4" x14ac:dyDescent="0.3">
      <c r="A142" s="7">
        <v>46364</v>
      </c>
      <c r="B142" t="s">
        <v>149</v>
      </c>
      <c r="C142" t="s">
        <v>122</v>
      </c>
      <c r="D142" s="4">
        <v>312.82</v>
      </c>
    </row>
    <row r="143" spans="1:4" x14ac:dyDescent="0.3">
      <c r="A143" s="7">
        <v>46086</v>
      </c>
      <c r="B143" t="s">
        <v>142</v>
      </c>
      <c r="C143" t="s">
        <v>120</v>
      </c>
      <c r="D143" s="4">
        <v>14733.55</v>
      </c>
    </row>
    <row r="144" spans="1:4" x14ac:dyDescent="0.3">
      <c r="A144" s="7">
        <v>46323</v>
      </c>
      <c r="B144" t="s">
        <v>138</v>
      </c>
      <c r="C144" t="s">
        <v>122</v>
      </c>
      <c r="D144" s="4">
        <v>14433.62</v>
      </c>
    </row>
    <row r="145" spans="1:4" x14ac:dyDescent="0.3">
      <c r="A145" s="7">
        <v>46366</v>
      </c>
      <c r="B145" t="s">
        <v>119</v>
      </c>
      <c r="C145" t="s">
        <v>120</v>
      </c>
      <c r="D145" s="4">
        <v>5721.81</v>
      </c>
    </row>
    <row r="146" spans="1:4" x14ac:dyDescent="0.3">
      <c r="A146" s="7">
        <v>46097</v>
      </c>
      <c r="B146" t="s">
        <v>158</v>
      </c>
      <c r="C146" t="s">
        <v>120</v>
      </c>
      <c r="D146" s="4">
        <v>13556.91</v>
      </c>
    </row>
    <row r="147" spans="1:4" x14ac:dyDescent="0.3">
      <c r="A147" s="7">
        <v>46319</v>
      </c>
      <c r="B147" t="s">
        <v>154</v>
      </c>
      <c r="C147" t="s">
        <v>128</v>
      </c>
      <c r="D147" s="4">
        <v>5663.21</v>
      </c>
    </row>
    <row r="148" spans="1:4" x14ac:dyDescent="0.3">
      <c r="A148" s="7">
        <v>46279</v>
      </c>
      <c r="B148" t="s">
        <v>152</v>
      </c>
      <c r="C148" t="s">
        <v>116</v>
      </c>
      <c r="D148" s="4">
        <v>12525.71</v>
      </c>
    </row>
    <row r="149" spans="1:4" x14ac:dyDescent="0.3">
      <c r="A149" s="7">
        <v>46146</v>
      </c>
      <c r="B149" t="s">
        <v>153</v>
      </c>
      <c r="C149" t="s">
        <v>122</v>
      </c>
      <c r="D149" s="4">
        <v>8152.81</v>
      </c>
    </row>
    <row r="150" spans="1:4" x14ac:dyDescent="0.3">
      <c r="A150" s="7">
        <v>46073</v>
      </c>
      <c r="B150" t="s">
        <v>121</v>
      </c>
      <c r="C150" t="s">
        <v>122</v>
      </c>
      <c r="D150" s="4">
        <v>13140.45</v>
      </c>
    </row>
    <row r="151" spans="1:4" x14ac:dyDescent="0.3">
      <c r="A151" s="7">
        <v>46293</v>
      </c>
      <c r="B151" t="s">
        <v>150</v>
      </c>
      <c r="C151" t="s">
        <v>116</v>
      </c>
      <c r="D151" s="4">
        <v>3589.42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workbookViewId="0">
      <selection activeCell="E23" sqref="E23"/>
    </sheetView>
  </sheetViews>
  <sheetFormatPr defaultRowHeight="14.4" x14ac:dyDescent="0.3"/>
  <cols>
    <col min="1" max="1" width="22" customWidth="1"/>
    <col min="2" max="3" width="16" customWidth="1"/>
    <col min="4" max="4" width="22" customWidth="1"/>
    <col min="5" max="8" width="14" customWidth="1"/>
  </cols>
  <sheetData>
    <row r="1" spans="1:8" ht="30" customHeight="1" x14ac:dyDescent="0.3">
      <c r="A1" s="17" t="s">
        <v>189</v>
      </c>
      <c r="B1" s="16"/>
      <c r="C1" s="16"/>
      <c r="D1" s="16"/>
      <c r="E1" s="16"/>
      <c r="F1" s="16"/>
      <c r="G1" s="16"/>
      <c r="H1" s="16"/>
    </row>
    <row r="2" spans="1:8" ht="19.95" customHeight="1" x14ac:dyDescent="0.3">
      <c r="A2" s="15" t="s">
        <v>190</v>
      </c>
      <c r="B2" s="16"/>
      <c r="C2" s="16"/>
      <c r="D2" s="16"/>
      <c r="E2" s="16"/>
      <c r="F2" s="16"/>
      <c r="G2" s="16"/>
      <c r="H2" s="16"/>
    </row>
    <row r="4" spans="1:8" ht="22.05" customHeight="1" x14ac:dyDescent="0.3">
      <c r="A4" s="21" t="s">
        <v>191</v>
      </c>
      <c r="B4" s="16"/>
      <c r="C4" s="16"/>
      <c r="D4" s="16"/>
      <c r="E4" s="16"/>
      <c r="F4" s="16"/>
      <c r="G4" s="16"/>
      <c r="H4" s="16"/>
    </row>
    <row r="5" spans="1:8" ht="18" customHeight="1" x14ac:dyDescent="0.3">
      <c r="A5" s="22" t="s">
        <v>192</v>
      </c>
      <c r="B5" s="16"/>
      <c r="C5" s="16"/>
      <c r="D5" s="16"/>
      <c r="E5" s="16"/>
      <c r="F5" s="16"/>
      <c r="G5" s="16"/>
      <c r="H5" s="16"/>
    </row>
    <row r="6" spans="1:8" ht="30" customHeight="1" x14ac:dyDescent="0.3">
      <c r="A6" s="18" t="s">
        <v>193</v>
      </c>
      <c r="B6" s="16"/>
      <c r="C6" s="16"/>
      <c r="D6" s="16"/>
      <c r="E6" s="16"/>
      <c r="F6" s="16"/>
      <c r="G6" s="16"/>
      <c r="H6" s="16"/>
    </row>
    <row r="7" spans="1:8" ht="15" customHeight="1" x14ac:dyDescent="0.3">
      <c r="A7" s="18" t="s">
        <v>194</v>
      </c>
      <c r="B7" s="16"/>
      <c r="C7" s="16"/>
      <c r="D7" s="16"/>
      <c r="E7" s="16"/>
      <c r="F7" s="16"/>
      <c r="G7" s="16"/>
      <c r="H7" s="16"/>
    </row>
    <row r="8" spans="1:8" ht="15" customHeight="1" x14ac:dyDescent="0.3">
      <c r="A8" s="18" t="s">
        <v>195</v>
      </c>
      <c r="B8" s="16"/>
      <c r="C8" s="16"/>
      <c r="D8" s="16"/>
      <c r="E8" s="16"/>
      <c r="F8" s="16"/>
      <c r="G8" s="16"/>
      <c r="H8" s="16"/>
    </row>
    <row r="9" spans="1:8" ht="15" customHeight="1" x14ac:dyDescent="0.3">
      <c r="A9" s="18" t="s">
        <v>196</v>
      </c>
      <c r="B9" s="16"/>
      <c r="C9" s="16"/>
      <c r="D9" s="16"/>
      <c r="E9" s="16"/>
      <c r="F9" s="16"/>
      <c r="G9" s="16"/>
      <c r="H9" s="16"/>
    </row>
    <row r="10" spans="1:8" ht="18" customHeight="1" x14ac:dyDescent="0.3">
      <c r="A10" s="22" t="s">
        <v>197</v>
      </c>
      <c r="B10" s="16"/>
      <c r="C10" s="16"/>
      <c r="D10" s="16"/>
      <c r="E10" s="16"/>
      <c r="F10" s="16"/>
      <c r="G10" s="16"/>
      <c r="H10" s="16"/>
    </row>
    <row r="11" spans="1:8" ht="30" customHeight="1" x14ac:dyDescent="0.3">
      <c r="A11" s="18" t="s">
        <v>198</v>
      </c>
      <c r="B11" s="16"/>
      <c r="C11" s="16"/>
      <c r="D11" s="16"/>
      <c r="E11" s="16"/>
      <c r="F11" s="16"/>
      <c r="G11" s="16"/>
      <c r="H11" s="16"/>
    </row>
    <row r="12" spans="1:8" ht="28.05" customHeight="1" x14ac:dyDescent="0.3">
      <c r="A12" s="18" t="s">
        <v>199</v>
      </c>
      <c r="B12" s="16"/>
      <c r="C12" s="16"/>
      <c r="D12" s="16"/>
      <c r="E12" s="16"/>
      <c r="F12" s="16"/>
      <c r="G12" s="16"/>
      <c r="H12" s="16"/>
    </row>
    <row r="13" spans="1:8" ht="15" customHeight="1" x14ac:dyDescent="0.3">
      <c r="A13" s="18" t="s">
        <v>200</v>
      </c>
      <c r="B13" s="16"/>
      <c r="C13" s="16"/>
      <c r="D13" s="16"/>
      <c r="E13" s="16"/>
      <c r="F13" s="16"/>
      <c r="G13" s="16"/>
      <c r="H13" s="16"/>
    </row>
    <row r="14" spans="1:8" ht="18" customHeight="1" x14ac:dyDescent="0.3">
      <c r="A14" s="22" t="s">
        <v>201</v>
      </c>
      <c r="B14" s="16"/>
      <c r="C14" s="16"/>
      <c r="D14" s="16"/>
      <c r="E14" s="16"/>
      <c r="F14" s="16"/>
      <c r="G14" s="16"/>
      <c r="H14" s="16"/>
    </row>
    <row r="15" spans="1:8" ht="30" customHeight="1" x14ac:dyDescent="0.3">
      <c r="A15" s="18" t="s">
        <v>202</v>
      </c>
      <c r="B15" s="16"/>
      <c r="C15" s="16"/>
      <c r="D15" s="16"/>
      <c r="E15" s="16"/>
      <c r="F15" s="16"/>
      <c r="G15" s="16"/>
      <c r="H15" s="16"/>
    </row>
    <row r="16" spans="1:8" ht="15" customHeight="1" x14ac:dyDescent="0.3">
      <c r="A16" s="18" t="s">
        <v>203</v>
      </c>
      <c r="B16" s="16"/>
      <c r="C16" s="16"/>
      <c r="D16" s="16"/>
      <c r="E16" s="16"/>
      <c r="F16" s="16"/>
      <c r="G16" s="16"/>
      <c r="H16" s="16"/>
    </row>
    <row r="17" spans="1:8" ht="15" customHeight="1" x14ac:dyDescent="0.3">
      <c r="A17" s="18" t="s">
        <v>204</v>
      </c>
      <c r="B17" s="16"/>
      <c r="C17" s="16"/>
      <c r="D17" s="16"/>
      <c r="E17" s="16"/>
      <c r="F17" s="16"/>
      <c r="G17" s="16"/>
      <c r="H17" s="16"/>
    </row>
    <row r="19" spans="1:8" ht="24" customHeight="1" x14ac:dyDescent="0.3">
      <c r="A19" s="23" t="s">
        <v>205</v>
      </c>
      <c r="B19" s="16"/>
      <c r="C19" s="16"/>
      <c r="D19" s="16"/>
      <c r="E19" s="16"/>
      <c r="F19" s="16"/>
      <c r="G19" s="16"/>
      <c r="H19" s="16"/>
    </row>
    <row r="21" spans="1:8" ht="22.05" customHeight="1" x14ac:dyDescent="0.3">
      <c r="A21" s="21" t="s">
        <v>206</v>
      </c>
      <c r="B21" s="16"/>
      <c r="C21" s="16"/>
      <c r="D21" s="16"/>
      <c r="E21" s="16"/>
      <c r="F21" s="16"/>
      <c r="G21" s="16"/>
      <c r="H21" s="16"/>
    </row>
    <row r="22" spans="1:8" ht="15" x14ac:dyDescent="0.3">
      <c r="A22" s="8" t="s">
        <v>207</v>
      </c>
      <c r="C22" s="8" t="s">
        <v>208</v>
      </c>
      <c r="E22" s="8" t="s">
        <v>209</v>
      </c>
    </row>
    <row r="23" spans="1:8" x14ac:dyDescent="0.3">
      <c r="A23" s="5" t="s">
        <v>48</v>
      </c>
      <c r="C23" s="5">
        <f>INDEX(Artikel!$A$2:$A$51,MATCH($A$23,Artikel!$B$2:$B$51,0))</f>
        <v>1001</v>
      </c>
      <c r="E23" s="5">
        <f>_xlfn.XLOOKUP($A$23,Artikel!$B$2:$B$51,Artikel!$A$2:$A$51,"nicht gefunden",0)</f>
        <v>1001</v>
      </c>
    </row>
    <row r="25" spans="1:8" ht="24" customHeight="1" x14ac:dyDescent="0.3">
      <c r="A25" s="20" t="s">
        <v>210</v>
      </c>
      <c r="B25" s="16"/>
      <c r="C25" s="16"/>
      <c r="D25" s="16"/>
      <c r="E25" s="16"/>
      <c r="F25" s="16"/>
      <c r="G25" s="16"/>
      <c r="H25" s="16"/>
    </row>
  </sheetData>
  <mergeCells count="19">
    <mergeCell ref="A25:H25"/>
    <mergeCell ref="A16:H16"/>
    <mergeCell ref="A12:H12"/>
    <mergeCell ref="A21:H21"/>
    <mergeCell ref="A2:H2"/>
    <mergeCell ref="A14:H14"/>
    <mergeCell ref="A5:H5"/>
    <mergeCell ref="A8:H8"/>
    <mergeCell ref="A17:H17"/>
    <mergeCell ref="A4:H4"/>
    <mergeCell ref="A10:H10"/>
    <mergeCell ref="A13:H13"/>
    <mergeCell ref="A19:H19"/>
    <mergeCell ref="A9:H9"/>
    <mergeCell ref="A15:H15"/>
    <mergeCell ref="A11:H11"/>
    <mergeCell ref="A1:H1"/>
    <mergeCell ref="A6:H6"/>
    <mergeCell ref="A7:H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1"/>
  <sheetViews>
    <sheetView workbookViewId="0">
      <selection activeCell="A30" sqref="A30"/>
    </sheetView>
  </sheetViews>
  <sheetFormatPr defaultRowHeight="14.4" x14ac:dyDescent="0.3"/>
  <cols>
    <col min="1" max="1" width="22" customWidth="1"/>
    <col min="2" max="3" width="16" customWidth="1"/>
    <col min="4" max="4" width="22" customWidth="1"/>
    <col min="5" max="8" width="14" customWidth="1"/>
  </cols>
  <sheetData>
    <row r="1" spans="1:8" ht="30" customHeight="1" x14ac:dyDescent="0.3">
      <c r="A1" s="17" t="s">
        <v>211</v>
      </c>
      <c r="B1" s="16"/>
      <c r="C1" s="16"/>
      <c r="D1" s="16"/>
      <c r="E1" s="16"/>
      <c r="F1" s="16"/>
      <c r="G1" s="16"/>
      <c r="H1" s="16"/>
    </row>
    <row r="2" spans="1:8" ht="19.95" customHeight="1" x14ac:dyDescent="0.3">
      <c r="A2" s="15" t="s">
        <v>212</v>
      </c>
      <c r="B2" s="16"/>
      <c r="C2" s="16"/>
      <c r="D2" s="16"/>
      <c r="E2" s="16"/>
      <c r="F2" s="16"/>
      <c r="G2" s="16"/>
      <c r="H2" s="16"/>
    </row>
    <row r="4" spans="1:8" ht="22.05" customHeight="1" x14ac:dyDescent="0.3">
      <c r="A4" s="21" t="s">
        <v>191</v>
      </c>
      <c r="B4" s="16"/>
      <c r="C4" s="16"/>
      <c r="D4" s="16"/>
      <c r="E4" s="16"/>
      <c r="F4" s="16"/>
      <c r="G4" s="16"/>
      <c r="H4" s="16"/>
    </row>
    <row r="5" spans="1:8" ht="18" customHeight="1" x14ac:dyDescent="0.3">
      <c r="A5" s="22" t="s">
        <v>213</v>
      </c>
      <c r="B5" s="16"/>
      <c r="C5" s="16"/>
      <c r="D5" s="16"/>
      <c r="E5" s="16"/>
      <c r="F5" s="16"/>
      <c r="G5" s="16"/>
      <c r="H5" s="16"/>
    </row>
    <row r="6" spans="1:8" ht="30" customHeight="1" x14ac:dyDescent="0.3">
      <c r="A6" s="18" t="s">
        <v>214</v>
      </c>
      <c r="B6" s="16"/>
      <c r="C6" s="16"/>
      <c r="D6" s="16"/>
      <c r="E6" s="16"/>
      <c r="F6" s="16"/>
      <c r="G6" s="16"/>
      <c r="H6" s="16"/>
    </row>
    <row r="7" spans="1:8" ht="15" customHeight="1" x14ac:dyDescent="0.3">
      <c r="A7" s="18" t="s">
        <v>215</v>
      </c>
      <c r="B7" s="16"/>
      <c r="C7" s="16"/>
      <c r="D7" s="16"/>
      <c r="E7" s="16"/>
      <c r="F7" s="16"/>
      <c r="G7" s="16"/>
      <c r="H7" s="16"/>
    </row>
    <row r="8" spans="1:8" ht="15" customHeight="1" x14ac:dyDescent="0.3">
      <c r="A8" s="18" t="s">
        <v>216</v>
      </c>
      <c r="B8" s="16"/>
      <c r="C8" s="16"/>
      <c r="D8" s="16"/>
      <c r="E8" s="16"/>
      <c r="F8" s="16"/>
      <c r="G8" s="16"/>
      <c r="H8" s="16"/>
    </row>
    <row r="9" spans="1:8" ht="18" customHeight="1" x14ac:dyDescent="0.3">
      <c r="A9" s="22" t="s">
        <v>217</v>
      </c>
      <c r="B9" s="16"/>
      <c r="C9" s="16"/>
      <c r="D9" s="16"/>
      <c r="E9" s="16"/>
      <c r="F9" s="16"/>
      <c r="G9" s="16"/>
      <c r="H9" s="16"/>
    </row>
    <row r="10" spans="1:8" ht="30" customHeight="1" x14ac:dyDescent="0.3">
      <c r="A10" s="18" t="s">
        <v>218</v>
      </c>
      <c r="B10" s="16"/>
      <c r="C10" s="16"/>
      <c r="D10" s="16"/>
      <c r="E10" s="16"/>
      <c r="F10" s="16"/>
      <c r="G10" s="16"/>
      <c r="H10" s="16"/>
    </row>
    <row r="11" spans="1:8" ht="28.05" customHeight="1" x14ac:dyDescent="0.3">
      <c r="A11" s="18" t="s">
        <v>219</v>
      </c>
      <c r="B11" s="16"/>
      <c r="C11" s="16"/>
      <c r="D11" s="16"/>
      <c r="E11" s="16"/>
      <c r="F11" s="16"/>
      <c r="G11" s="16"/>
      <c r="H11" s="16"/>
    </row>
    <row r="12" spans="1:8" ht="15" customHeight="1" x14ac:dyDescent="0.3">
      <c r="A12" s="18" t="s">
        <v>220</v>
      </c>
      <c r="B12" s="16"/>
      <c r="C12" s="16"/>
      <c r="D12" s="16"/>
      <c r="E12" s="16"/>
      <c r="F12" s="16"/>
      <c r="G12" s="16"/>
      <c r="H12" s="16"/>
    </row>
    <row r="13" spans="1:8" ht="18" customHeight="1" x14ac:dyDescent="0.3">
      <c r="A13" s="22" t="s">
        <v>221</v>
      </c>
      <c r="B13" s="16"/>
      <c r="C13" s="16"/>
      <c r="D13" s="16"/>
      <c r="E13" s="16"/>
      <c r="F13" s="16"/>
      <c r="G13" s="16"/>
      <c r="H13" s="16"/>
    </row>
    <row r="14" spans="1:8" ht="30" customHeight="1" x14ac:dyDescent="0.3">
      <c r="A14" s="18" t="s">
        <v>222</v>
      </c>
      <c r="B14" s="16"/>
      <c r="C14" s="16"/>
      <c r="D14" s="16"/>
      <c r="E14" s="16"/>
      <c r="F14" s="16"/>
      <c r="G14" s="16"/>
      <c r="H14" s="16"/>
    </row>
    <row r="15" spans="1:8" ht="15" customHeight="1" x14ac:dyDescent="0.3">
      <c r="A15" s="18" t="s">
        <v>223</v>
      </c>
      <c r="B15" s="16"/>
      <c r="C15" s="16"/>
      <c r="D15" s="16"/>
      <c r="E15" s="16"/>
      <c r="F15" s="16"/>
      <c r="G15" s="16"/>
      <c r="H15" s="16"/>
    </row>
    <row r="17" spans="1:8" ht="24" customHeight="1" x14ac:dyDescent="0.3">
      <c r="A17" s="23" t="s">
        <v>224</v>
      </c>
      <c r="B17" s="16"/>
      <c r="C17" s="16"/>
      <c r="D17" s="16"/>
      <c r="E17" s="16"/>
      <c r="F17" s="16"/>
      <c r="G17" s="16"/>
      <c r="H17" s="16"/>
    </row>
    <row r="19" spans="1:8" ht="22.05" customHeight="1" x14ac:dyDescent="0.3">
      <c r="A19" s="21" t="s">
        <v>225</v>
      </c>
      <c r="B19" s="16"/>
      <c r="C19" s="16"/>
      <c r="D19" s="16"/>
      <c r="E19" s="16"/>
      <c r="F19" s="16"/>
      <c r="G19" s="16"/>
      <c r="H19" s="16"/>
    </row>
    <row r="20" spans="1:8" ht="15" x14ac:dyDescent="0.3">
      <c r="A20" s="8" t="s">
        <v>226</v>
      </c>
      <c r="B20" s="9" t="s">
        <v>120</v>
      </c>
    </row>
    <row r="21" spans="1:8" ht="15" x14ac:dyDescent="0.3">
      <c r="A21" s="8" t="s">
        <v>227</v>
      </c>
      <c r="E21" s="6">
        <f>SUMIFS(Umsatz!$D$2:$D$2001,Umsatz!$B$2:$B$2001,'Set 02'!A31,Umsatz!$C$2:$C$2001,2025)</f>
        <v>1555579.1099999996</v>
      </c>
    </row>
    <row r="22" spans="1:8" ht="15" x14ac:dyDescent="0.3">
      <c r="A22" s="8" t="s">
        <v>228</v>
      </c>
      <c r="E22" s="5"/>
    </row>
    <row r="23" spans="1:8" ht="15" x14ac:dyDescent="0.3">
      <c r="A23" s="8" t="s">
        <v>229</v>
      </c>
      <c r="E23" s="6"/>
    </row>
    <row r="24" spans="1:8" ht="15" x14ac:dyDescent="0.3">
      <c r="A24" s="8" t="s">
        <v>230</v>
      </c>
      <c r="E24" s="5"/>
    </row>
    <row r="25" spans="1:8" ht="15" x14ac:dyDescent="0.3">
      <c r="A25" s="8" t="s">
        <v>231</v>
      </c>
      <c r="E25" s="6"/>
    </row>
    <row r="27" spans="1:8" ht="24" customHeight="1" x14ac:dyDescent="0.3">
      <c r="A27" s="20" t="s">
        <v>232</v>
      </c>
      <c r="B27" s="16"/>
      <c r="C27" s="16"/>
      <c r="D27" s="16"/>
      <c r="E27" s="16"/>
      <c r="F27" s="16"/>
      <c r="G27" s="16"/>
      <c r="H27" s="16"/>
    </row>
    <row r="31" spans="1:8" x14ac:dyDescent="0.3">
      <c r="A31" t="s">
        <v>120</v>
      </c>
    </row>
  </sheetData>
  <mergeCells count="17">
    <mergeCell ref="A19:H19"/>
    <mergeCell ref="A5:H5"/>
    <mergeCell ref="A27:H27"/>
    <mergeCell ref="A8:H8"/>
    <mergeCell ref="A6:H6"/>
    <mergeCell ref="A17:H17"/>
    <mergeCell ref="A1:H1"/>
    <mergeCell ref="A4:H4"/>
    <mergeCell ref="A9:H9"/>
    <mergeCell ref="A12:H12"/>
    <mergeCell ref="A15:H15"/>
    <mergeCell ref="A7:H7"/>
    <mergeCell ref="A2:H2"/>
    <mergeCell ref="A10:H10"/>
    <mergeCell ref="A13:H13"/>
    <mergeCell ref="A11:H11"/>
    <mergeCell ref="A14:H14"/>
  </mergeCells>
  <dataValidations count="1">
    <dataValidation type="list" allowBlank="1" sqref="B20" xr:uid="{00000000-0002-0000-0700-000000000000}">
      <formula1>"Nord,Ost,Süd,West"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A23" workbookViewId="0">
      <selection activeCell="E22" sqref="E22"/>
    </sheetView>
  </sheetViews>
  <sheetFormatPr defaultRowHeight="14.4" x14ac:dyDescent="0.3"/>
  <cols>
    <col min="1" max="1" width="22" customWidth="1"/>
    <col min="2" max="3" width="16" customWidth="1"/>
    <col min="4" max="4" width="22" customWidth="1"/>
    <col min="5" max="8" width="14" customWidth="1"/>
  </cols>
  <sheetData>
    <row r="1" spans="1:8" ht="30" customHeight="1" x14ac:dyDescent="0.3">
      <c r="A1" s="17" t="s">
        <v>233</v>
      </c>
      <c r="B1" s="16"/>
      <c r="C1" s="16"/>
      <c r="D1" s="16"/>
      <c r="E1" s="16"/>
      <c r="F1" s="16"/>
      <c r="G1" s="16"/>
      <c r="H1" s="16"/>
    </row>
    <row r="2" spans="1:8" ht="19.95" customHeight="1" x14ac:dyDescent="0.3">
      <c r="A2" s="15" t="s">
        <v>234</v>
      </c>
      <c r="B2" s="16"/>
      <c r="C2" s="16"/>
      <c r="D2" s="16"/>
      <c r="E2" s="16"/>
      <c r="F2" s="16"/>
      <c r="G2" s="16"/>
      <c r="H2" s="16"/>
    </row>
    <row r="4" spans="1:8" ht="22.05" customHeight="1" x14ac:dyDescent="0.3">
      <c r="A4" s="21" t="s">
        <v>191</v>
      </c>
      <c r="B4" s="16"/>
      <c r="C4" s="16"/>
      <c r="D4" s="16"/>
      <c r="E4" s="16"/>
      <c r="F4" s="16"/>
      <c r="G4" s="16"/>
      <c r="H4" s="16"/>
    </row>
    <row r="5" spans="1:8" ht="18" customHeight="1" x14ac:dyDescent="0.3">
      <c r="A5" s="22" t="s">
        <v>235</v>
      </c>
      <c r="B5" s="16"/>
      <c r="C5" s="16"/>
      <c r="D5" s="16"/>
      <c r="E5" s="16"/>
      <c r="F5" s="16"/>
      <c r="G5" s="16"/>
      <c r="H5" s="16"/>
    </row>
    <row r="6" spans="1:8" ht="30" customHeight="1" x14ac:dyDescent="0.3">
      <c r="A6" s="18" t="s">
        <v>236</v>
      </c>
      <c r="B6" s="16"/>
      <c r="C6" s="16"/>
      <c r="D6" s="16"/>
      <c r="E6" s="16"/>
      <c r="F6" s="16"/>
      <c r="G6" s="16"/>
      <c r="H6" s="16"/>
    </row>
    <row r="7" spans="1:8" ht="15" customHeight="1" x14ac:dyDescent="0.3">
      <c r="A7" s="18" t="s">
        <v>237</v>
      </c>
      <c r="B7" s="16"/>
      <c r="C7" s="16"/>
      <c r="D7" s="16"/>
      <c r="E7" s="16"/>
      <c r="F7" s="16"/>
      <c r="G7" s="16"/>
      <c r="H7" s="16"/>
    </row>
    <row r="8" spans="1:8" ht="15" customHeight="1" x14ac:dyDescent="0.3">
      <c r="A8" s="18" t="s">
        <v>238</v>
      </c>
      <c r="B8" s="16"/>
      <c r="C8" s="16"/>
      <c r="D8" s="16"/>
      <c r="E8" s="16"/>
      <c r="F8" s="16"/>
      <c r="G8" s="16"/>
      <c r="H8" s="16"/>
    </row>
    <row r="9" spans="1:8" ht="15" customHeight="1" x14ac:dyDescent="0.3">
      <c r="A9" s="18" t="s">
        <v>239</v>
      </c>
      <c r="B9" s="16"/>
      <c r="C9" s="16"/>
      <c r="D9" s="16"/>
      <c r="E9" s="16"/>
      <c r="F9" s="16"/>
      <c r="G9" s="16"/>
      <c r="H9" s="16"/>
    </row>
    <row r="10" spans="1:8" ht="18" customHeight="1" x14ac:dyDescent="0.3">
      <c r="A10" s="22" t="s">
        <v>240</v>
      </c>
      <c r="B10" s="16"/>
      <c r="C10" s="16"/>
      <c r="D10" s="16"/>
      <c r="E10" s="16"/>
      <c r="F10" s="16"/>
      <c r="G10" s="16"/>
      <c r="H10" s="16"/>
    </row>
    <row r="11" spans="1:8" ht="30" customHeight="1" x14ac:dyDescent="0.3">
      <c r="A11" s="18" t="s">
        <v>241</v>
      </c>
      <c r="B11" s="16"/>
      <c r="C11" s="16"/>
      <c r="D11" s="16"/>
      <c r="E11" s="16"/>
      <c r="F11" s="16"/>
      <c r="G11" s="16"/>
      <c r="H11" s="16"/>
    </row>
    <row r="12" spans="1:8" ht="15" customHeight="1" x14ac:dyDescent="0.3">
      <c r="A12" s="18" t="s">
        <v>242</v>
      </c>
      <c r="B12" s="16"/>
      <c r="C12" s="16"/>
      <c r="D12" s="16"/>
      <c r="E12" s="16"/>
      <c r="F12" s="16"/>
      <c r="G12" s="16"/>
      <c r="H12" s="16"/>
    </row>
    <row r="13" spans="1:8" ht="15" customHeight="1" x14ac:dyDescent="0.3">
      <c r="A13" s="18" t="s">
        <v>243</v>
      </c>
      <c r="B13" s="16"/>
      <c r="C13" s="16"/>
      <c r="D13" s="16"/>
      <c r="E13" s="16"/>
      <c r="F13" s="16"/>
      <c r="G13" s="16"/>
      <c r="H13" s="16"/>
    </row>
    <row r="14" spans="1:8" ht="15" customHeight="1" x14ac:dyDescent="0.3">
      <c r="A14" s="18" t="s">
        <v>244</v>
      </c>
      <c r="B14" s="16"/>
      <c r="C14" s="16"/>
      <c r="D14" s="16"/>
      <c r="E14" s="16"/>
      <c r="F14" s="16"/>
      <c r="G14" s="16"/>
      <c r="H14" s="16"/>
    </row>
    <row r="15" spans="1:8" ht="15" customHeight="1" x14ac:dyDescent="0.3">
      <c r="A15" s="18" t="s">
        <v>245</v>
      </c>
      <c r="B15" s="16"/>
      <c r="C15" s="16"/>
      <c r="D15" s="16"/>
      <c r="E15" s="16"/>
      <c r="F15" s="16"/>
      <c r="G15" s="16"/>
      <c r="H15" s="16"/>
    </row>
    <row r="16" spans="1:8" ht="18" customHeight="1" x14ac:dyDescent="0.3">
      <c r="A16" s="22" t="s">
        <v>246</v>
      </c>
      <c r="B16" s="16"/>
      <c r="C16" s="16"/>
      <c r="D16" s="16"/>
      <c r="E16" s="16"/>
      <c r="F16" s="16"/>
      <c r="G16" s="16"/>
      <c r="H16" s="16"/>
    </row>
    <row r="17" spans="1:8" ht="30" customHeight="1" x14ac:dyDescent="0.3">
      <c r="A17" s="18" t="s">
        <v>247</v>
      </c>
      <c r="B17" s="16"/>
      <c r="C17" s="16"/>
      <c r="D17" s="16"/>
      <c r="E17" s="16"/>
      <c r="F17" s="16"/>
      <c r="G17" s="16"/>
      <c r="H17" s="16"/>
    </row>
    <row r="18" spans="1:8" ht="28.05" customHeight="1" x14ac:dyDescent="0.3">
      <c r="A18" s="18" t="s">
        <v>248</v>
      </c>
      <c r="B18" s="16"/>
      <c r="C18" s="16"/>
      <c r="D18" s="16"/>
      <c r="E18" s="16"/>
      <c r="F18" s="16"/>
      <c r="G18" s="16"/>
      <c r="H18" s="16"/>
    </row>
    <row r="21" spans="1:8" ht="22.05" customHeight="1" x14ac:dyDescent="0.3">
      <c r="A21" s="21" t="s">
        <v>249</v>
      </c>
      <c r="B21" s="16"/>
      <c r="C21" s="16"/>
      <c r="D21" s="16"/>
      <c r="E21" s="16"/>
      <c r="F21" s="16"/>
      <c r="G21" s="16"/>
      <c r="H21" s="16"/>
    </row>
    <row r="22" spans="1:8" ht="15" x14ac:dyDescent="0.3">
      <c r="A22" s="8" t="s">
        <v>250</v>
      </c>
      <c r="E22" s="6"/>
    </row>
    <row r="23" spans="1:8" ht="15" x14ac:dyDescent="0.3">
      <c r="A23" s="8" t="s">
        <v>251</v>
      </c>
      <c r="E23" s="5"/>
    </row>
    <row r="24" spans="1:8" ht="15" x14ac:dyDescent="0.3">
      <c r="A24" s="8" t="s">
        <v>252</v>
      </c>
      <c r="E24" s="9"/>
    </row>
    <row r="26" spans="1:8" ht="24" customHeight="1" x14ac:dyDescent="0.3">
      <c r="A26" s="20" t="s">
        <v>253</v>
      </c>
      <c r="B26" s="16"/>
      <c r="C26" s="16"/>
      <c r="D26" s="16"/>
      <c r="E26" s="16"/>
      <c r="F26" s="16"/>
      <c r="G26" s="16"/>
      <c r="H26" s="16"/>
    </row>
  </sheetData>
  <mergeCells count="19">
    <mergeCell ref="A16:H16"/>
    <mergeCell ref="A12:H12"/>
    <mergeCell ref="A18:H18"/>
    <mergeCell ref="A26:H26"/>
    <mergeCell ref="A21:H21"/>
    <mergeCell ref="A14:H14"/>
    <mergeCell ref="A17:H17"/>
    <mergeCell ref="A13:H13"/>
    <mergeCell ref="A9:H9"/>
    <mergeCell ref="A15:H15"/>
    <mergeCell ref="A11:H11"/>
    <mergeCell ref="A1:H1"/>
    <mergeCell ref="A6:H6"/>
    <mergeCell ref="A7:H7"/>
    <mergeCell ref="A2:H2"/>
    <mergeCell ref="A5:H5"/>
    <mergeCell ref="A8:H8"/>
    <mergeCell ref="A4:H4"/>
    <mergeCell ref="A10:H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A7" sqref="A7:H7"/>
    </sheetView>
  </sheetViews>
  <sheetFormatPr defaultRowHeight="14.4" x14ac:dyDescent="0.3"/>
  <cols>
    <col min="1" max="1" width="22" customWidth="1"/>
    <col min="2" max="3" width="16" customWidth="1"/>
    <col min="4" max="4" width="22" customWidth="1"/>
    <col min="5" max="8" width="14" customWidth="1"/>
  </cols>
  <sheetData>
    <row r="1" spans="1:8" ht="30" customHeight="1" x14ac:dyDescent="0.3">
      <c r="A1" s="17" t="s">
        <v>254</v>
      </c>
      <c r="B1" s="16"/>
      <c r="C1" s="16"/>
      <c r="D1" s="16"/>
      <c r="E1" s="16"/>
      <c r="F1" s="16"/>
      <c r="G1" s="16"/>
      <c r="H1" s="16"/>
    </row>
    <row r="2" spans="1:8" ht="19.95" customHeight="1" x14ac:dyDescent="0.3">
      <c r="A2" s="15" t="s">
        <v>255</v>
      </c>
      <c r="B2" s="16"/>
      <c r="C2" s="16"/>
      <c r="D2" s="16"/>
      <c r="E2" s="16"/>
      <c r="F2" s="16"/>
      <c r="G2" s="16"/>
      <c r="H2" s="16"/>
    </row>
    <row r="4" spans="1:8" ht="22.05" customHeight="1" x14ac:dyDescent="0.3">
      <c r="A4" s="21" t="s">
        <v>191</v>
      </c>
      <c r="B4" s="16"/>
      <c r="C4" s="16"/>
      <c r="D4" s="16"/>
      <c r="E4" s="16"/>
      <c r="F4" s="16"/>
      <c r="G4" s="16"/>
      <c r="H4" s="16"/>
    </row>
    <row r="5" spans="1:8" ht="18" customHeight="1" x14ac:dyDescent="0.3">
      <c r="A5" s="22" t="s">
        <v>256</v>
      </c>
      <c r="B5" s="16"/>
      <c r="C5" s="16"/>
      <c r="D5" s="16"/>
      <c r="E5" s="16"/>
      <c r="F5" s="16"/>
      <c r="G5" s="16"/>
      <c r="H5" s="16"/>
    </row>
    <row r="6" spans="1:8" ht="30" customHeight="1" x14ac:dyDescent="0.3">
      <c r="A6" s="18" t="s">
        <v>257</v>
      </c>
      <c r="B6" s="16"/>
      <c r="C6" s="16"/>
      <c r="D6" s="16"/>
      <c r="E6" s="16"/>
      <c r="F6" s="16"/>
      <c r="G6" s="16"/>
      <c r="H6" s="16"/>
    </row>
    <row r="7" spans="1:8" ht="15" customHeight="1" x14ac:dyDescent="0.3">
      <c r="A7" s="18" t="s">
        <v>258</v>
      </c>
      <c r="B7" s="16"/>
      <c r="C7" s="16"/>
      <c r="D7" s="16"/>
      <c r="E7" s="16"/>
      <c r="F7" s="16"/>
      <c r="G7" s="16"/>
      <c r="H7" s="16"/>
    </row>
    <row r="8" spans="1:8" ht="15" customHeight="1" x14ac:dyDescent="0.3">
      <c r="A8" s="18" t="s">
        <v>259</v>
      </c>
      <c r="B8" s="16"/>
      <c r="C8" s="16"/>
      <c r="D8" s="16"/>
      <c r="E8" s="16"/>
      <c r="F8" s="16"/>
      <c r="G8" s="16"/>
      <c r="H8" s="16"/>
    </row>
    <row r="9" spans="1:8" ht="15" customHeight="1" x14ac:dyDescent="0.3">
      <c r="A9" s="18" t="s">
        <v>260</v>
      </c>
      <c r="B9" s="16"/>
      <c r="C9" s="16"/>
      <c r="D9" s="16"/>
      <c r="E9" s="16"/>
      <c r="F9" s="16"/>
      <c r="G9" s="16"/>
      <c r="H9" s="16"/>
    </row>
    <row r="10" spans="1:8" ht="18" customHeight="1" x14ac:dyDescent="0.3">
      <c r="A10" s="22" t="s">
        <v>261</v>
      </c>
      <c r="B10" s="16"/>
      <c r="C10" s="16"/>
      <c r="D10" s="16"/>
      <c r="E10" s="16"/>
      <c r="F10" s="16"/>
      <c r="G10" s="16"/>
      <c r="H10" s="16"/>
    </row>
    <row r="11" spans="1:8" ht="30" customHeight="1" x14ac:dyDescent="0.3">
      <c r="A11" s="18" t="s">
        <v>262</v>
      </c>
      <c r="B11" s="16"/>
      <c r="C11" s="16"/>
      <c r="D11" s="16"/>
      <c r="E11" s="16"/>
      <c r="F11" s="16"/>
      <c r="G11" s="16"/>
      <c r="H11" s="16"/>
    </row>
    <row r="12" spans="1:8" ht="15" customHeight="1" x14ac:dyDescent="0.3">
      <c r="A12" s="18" t="s">
        <v>263</v>
      </c>
      <c r="B12" s="16"/>
      <c r="C12" s="16"/>
      <c r="D12" s="16"/>
      <c r="E12" s="16"/>
      <c r="F12" s="16"/>
      <c r="G12" s="16"/>
      <c r="H12" s="16"/>
    </row>
    <row r="13" spans="1:8" ht="15" customHeight="1" x14ac:dyDescent="0.3">
      <c r="A13" s="18" t="s">
        <v>264</v>
      </c>
      <c r="B13" s="16"/>
      <c r="C13" s="16"/>
      <c r="D13" s="16"/>
      <c r="E13" s="16"/>
      <c r="F13" s="16"/>
      <c r="G13" s="16"/>
      <c r="H13" s="16"/>
    </row>
    <row r="14" spans="1:8" ht="15" customHeight="1" x14ac:dyDescent="0.3">
      <c r="A14" s="18" t="s">
        <v>265</v>
      </c>
      <c r="B14" s="16"/>
      <c r="C14" s="16"/>
      <c r="D14" s="16"/>
      <c r="E14" s="16"/>
      <c r="F14" s="16"/>
      <c r="G14" s="16"/>
      <c r="H14" s="16"/>
    </row>
    <row r="15" spans="1:8" ht="15" customHeight="1" x14ac:dyDescent="0.3">
      <c r="A15" s="18" t="s">
        <v>266</v>
      </c>
      <c r="B15" s="16"/>
      <c r="C15" s="16"/>
      <c r="D15" s="16"/>
      <c r="E15" s="16"/>
      <c r="F15" s="16"/>
      <c r="G15" s="16"/>
      <c r="H15" s="16"/>
    </row>
    <row r="16" spans="1:8" ht="18" customHeight="1" x14ac:dyDescent="0.3">
      <c r="A16" s="22" t="s">
        <v>267</v>
      </c>
      <c r="B16" s="16"/>
      <c r="C16" s="16"/>
      <c r="D16" s="16"/>
      <c r="E16" s="16"/>
      <c r="F16" s="16"/>
      <c r="G16" s="16"/>
      <c r="H16" s="16"/>
    </row>
    <row r="17" spans="1:8" ht="30" customHeight="1" x14ac:dyDescent="0.3">
      <c r="A17" s="18" t="s">
        <v>268</v>
      </c>
      <c r="B17" s="16"/>
      <c r="C17" s="16"/>
      <c r="D17" s="16"/>
      <c r="E17" s="16"/>
      <c r="F17" s="16"/>
      <c r="G17" s="16"/>
      <c r="H17" s="16"/>
    </row>
    <row r="18" spans="1:8" ht="15" customHeight="1" x14ac:dyDescent="0.3">
      <c r="A18" s="18" t="s">
        <v>269</v>
      </c>
      <c r="B18" s="16"/>
      <c r="C18" s="16"/>
      <c r="D18" s="16"/>
      <c r="E18" s="16"/>
      <c r="F18" s="16"/>
      <c r="G18" s="16"/>
      <c r="H18" s="16"/>
    </row>
    <row r="19" spans="1:8" ht="15" customHeight="1" x14ac:dyDescent="0.3">
      <c r="A19" s="18" t="s">
        <v>270</v>
      </c>
      <c r="B19" s="16"/>
      <c r="C19" s="16"/>
      <c r="D19" s="16"/>
      <c r="E19" s="16"/>
      <c r="F19" s="16"/>
      <c r="G19" s="16"/>
      <c r="H19" s="16"/>
    </row>
    <row r="21" spans="1:8" ht="24" customHeight="1" x14ac:dyDescent="0.3">
      <c r="A21" s="23" t="s">
        <v>271</v>
      </c>
      <c r="B21" s="16"/>
      <c r="C21" s="16"/>
      <c r="D21" s="16"/>
      <c r="E21" s="16"/>
      <c r="F21" s="16"/>
      <c r="G21" s="16"/>
      <c r="H21" s="16"/>
    </row>
    <row r="23" spans="1:8" ht="22.05" customHeight="1" x14ac:dyDescent="0.3">
      <c r="A23" s="21" t="s">
        <v>272</v>
      </c>
      <c r="B23" s="16"/>
      <c r="C23" s="16"/>
      <c r="D23" s="16"/>
      <c r="E23" s="16"/>
      <c r="F23" s="16"/>
      <c r="G23" s="16"/>
      <c r="H23" s="16"/>
    </row>
    <row r="24" spans="1:8" ht="15" x14ac:dyDescent="0.3">
      <c r="A24" s="10" t="s">
        <v>110</v>
      </c>
      <c r="B24" s="10" t="s">
        <v>273</v>
      </c>
    </row>
    <row r="25" spans="1:8" x14ac:dyDescent="0.3">
      <c r="A25" s="11" t="s">
        <v>122</v>
      </c>
      <c r="B25" s="12"/>
    </row>
    <row r="26" spans="1:8" x14ac:dyDescent="0.3">
      <c r="A26" s="11" t="s">
        <v>116</v>
      </c>
      <c r="B26" s="12"/>
    </row>
    <row r="27" spans="1:8" x14ac:dyDescent="0.3">
      <c r="A27" s="11" t="s">
        <v>120</v>
      </c>
      <c r="B27" s="12"/>
    </row>
    <row r="28" spans="1:8" x14ac:dyDescent="0.3">
      <c r="A28" s="11" t="s">
        <v>128</v>
      </c>
      <c r="B28" s="12"/>
    </row>
    <row r="30" spans="1:8" ht="24" customHeight="1" x14ac:dyDescent="0.3">
      <c r="A30" s="20" t="s">
        <v>274</v>
      </c>
      <c r="B30" s="16"/>
      <c r="C30" s="16"/>
      <c r="D30" s="16"/>
      <c r="E30" s="16"/>
      <c r="F30" s="16"/>
      <c r="G30" s="16"/>
      <c r="H30" s="16"/>
    </row>
  </sheetData>
  <mergeCells count="21">
    <mergeCell ref="A17:H17"/>
    <mergeCell ref="A4:H4"/>
    <mergeCell ref="A10:H10"/>
    <mergeCell ref="A13:H13"/>
    <mergeCell ref="A19:H19"/>
    <mergeCell ref="A9:H9"/>
    <mergeCell ref="A30:H30"/>
    <mergeCell ref="A15:H15"/>
    <mergeCell ref="A11:H11"/>
    <mergeCell ref="A1:H1"/>
    <mergeCell ref="A6:H6"/>
    <mergeCell ref="A7:H7"/>
    <mergeCell ref="A16:H16"/>
    <mergeCell ref="A12:H12"/>
    <mergeCell ref="A18:H18"/>
    <mergeCell ref="A21:H21"/>
    <mergeCell ref="A2:H2"/>
    <mergeCell ref="A14:H14"/>
    <mergeCell ref="A5:H5"/>
    <mergeCell ref="A23:H23"/>
    <mergeCell ref="A8:H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2"/>
  <sheetViews>
    <sheetView zoomScale="115" zoomScaleNormal="115" workbookViewId="0">
      <selection sqref="A1:H1"/>
    </sheetView>
  </sheetViews>
  <sheetFormatPr defaultRowHeight="14.4" x14ac:dyDescent="0.3"/>
  <cols>
    <col min="1" max="1" width="22" customWidth="1"/>
    <col min="2" max="3" width="16" customWidth="1"/>
    <col min="4" max="4" width="22" customWidth="1"/>
    <col min="5" max="8" width="14" customWidth="1"/>
  </cols>
  <sheetData>
    <row r="1" spans="1:8" ht="30" customHeight="1" x14ac:dyDescent="0.3">
      <c r="A1" s="17" t="s">
        <v>275</v>
      </c>
      <c r="B1" s="16"/>
      <c r="C1" s="16"/>
      <c r="D1" s="16"/>
      <c r="E1" s="16"/>
      <c r="F1" s="16"/>
      <c r="G1" s="16"/>
      <c r="H1" s="16"/>
    </row>
    <row r="2" spans="1:8" ht="19.95" customHeight="1" x14ac:dyDescent="0.3">
      <c r="A2" s="15" t="s">
        <v>276</v>
      </c>
      <c r="B2" s="16"/>
      <c r="C2" s="16"/>
      <c r="D2" s="16"/>
      <c r="E2" s="16"/>
      <c r="F2" s="16"/>
      <c r="G2" s="16"/>
      <c r="H2" s="16"/>
    </row>
    <row r="4" spans="1:8" ht="22.05" customHeight="1" x14ac:dyDescent="0.3">
      <c r="A4" s="21" t="s">
        <v>191</v>
      </c>
      <c r="B4" s="16"/>
      <c r="C4" s="16"/>
      <c r="D4" s="16"/>
      <c r="E4" s="16"/>
      <c r="F4" s="16"/>
      <c r="G4" s="16"/>
      <c r="H4" s="16"/>
    </row>
    <row r="5" spans="1:8" ht="18" customHeight="1" x14ac:dyDescent="0.3">
      <c r="A5" s="22" t="s">
        <v>277</v>
      </c>
      <c r="B5" s="16"/>
      <c r="C5" s="16"/>
      <c r="D5" s="16"/>
      <c r="E5" s="16"/>
      <c r="F5" s="16"/>
      <c r="G5" s="16"/>
      <c r="H5" s="16"/>
    </row>
    <row r="6" spans="1:8" ht="30" customHeight="1" x14ac:dyDescent="0.3">
      <c r="A6" s="18" t="s">
        <v>278</v>
      </c>
      <c r="B6" s="16"/>
      <c r="C6" s="16"/>
      <c r="D6" s="16"/>
      <c r="E6" s="16"/>
      <c r="F6" s="16"/>
      <c r="G6" s="16"/>
      <c r="H6" s="16"/>
    </row>
    <row r="7" spans="1:8" ht="15" customHeight="1" x14ac:dyDescent="0.3">
      <c r="A7" s="18" t="s">
        <v>279</v>
      </c>
      <c r="B7" s="16"/>
      <c r="C7" s="16"/>
      <c r="D7" s="16"/>
      <c r="E7" s="16"/>
      <c r="F7" s="16"/>
      <c r="G7" s="16"/>
      <c r="H7" s="16"/>
    </row>
    <row r="8" spans="1:8" ht="15" customHeight="1" x14ac:dyDescent="0.3">
      <c r="A8" s="18" t="s">
        <v>280</v>
      </c>
      <c r="B8" s="16"/>
      <c r="C8" s="16"/>
      <c r="D8" s="16"/>
      <c r="E8" s="16"/>
      <c r="F8" s="16"/>
      <c r="G8" s="16"/>
      <c r="H8" s="16"/>
    </row>
    <row r="9" spans="1:8" ht="15" customHeight="1" x14ac:dyDescent="0.3">
      <c r="A9" s="18" t="s">
        <v>281</v>
      </c>
      <c r="B9" s="16"/>
      <c r="C9" s="16"/>
      <c r="D9" s="16"/>
      <c r="E9" s="16"/>
      <c r="F9" s="16"/>
      <c r="G9" s="16"/>
      <c r="H9" s="16"/>
    </row>
    <row r="10" spans="1:8" ht="18" customHeight="1" x14ac:dyDescent="0.3">
      <c r="A10" s="22" t="s">
        <v>282</v>
      </c>
      <c r="B10" s="16"/>
      <c r="C10" s="16"/>
      <c r="D10" s="16"/>
      <c r="E10" s="16"/>
      <c r="F10" s="16"/>
      <c r="G10" s="16"/>
      <c r="H10" s="16"/>
    </row>
    <row r="11" spans="1:8" ht="30" customHeight="1" x14ac:dyDescent="0.3">
      <c r="A11" s="18" t="s">
        <v>283</v>
      </c>
      <c r="B11" s="16"/>
      <c r="C11" s="16"/>
      <c r="D11" s="16"/>
      <c r="E11" s="16"/>
      <c r="F11" s="16"/>
      <c r="G11" s="16"/>
      <c r="H11" s="16"/>
    </row>
    <row r="12" spans="1:8" ht="15" customHeight="1" x14ac:dyDescent="0.3">
      <c r="A12" s="18" t="s">
        <v>284</v>
      </c>
      <c r="B12" s="16"/>
      <c r="C12" s="16"/>
      <c r="D12" s="16"/>
      <c r="E12" s="16"/>
      <c r="F12" s="16"/>
      <c r="G12" s="16"/>
      <c r="H12" s="16"/>
    </row>
    <row r="13" spans="1:8" ht="15" customHeight="1" x14ac:dyDescent="0.3">
      <c r="A13" s="18" t="s">
        <v>285</v>
      </c>
      <c r="B13" s="16"/>
      <c r="C13" s="16"/>
      <c r="D13" s="16"/>
      <c r="E13" s="16"/>
      <c r="F13" s="16"/>
      <c r="G13" s="16"/>
      <c r="H13" s="16"/>
    </row>
    <row r="14" spans="1:8" ht="15" customHeight="1" x14ac:dyDescent="0.3">
      <c r="A14" s="18" t="s">
        <v>286</v>
      </c>
      <c r="B14" s="16"/>
      <c r="C14" s="16"/>
      <c r="D14" s="16"/>
      <c r="E14" s="16"/>
      <c r="F14" s="16"/>
      <c r="G14" s="16"/>
      <c r="H14" s="16"/>
    </row>
    <row r="15" spans="1:8" ht="15" customHeight="1" x14ac:dyDescent="0.3">
      <c r="A15" s="18" t="s">
        <v>287</v>
      </c>
      <c r="B15" s="16"/>
      <c r="C15" s="16"/>
      <c r="D15" s="16"/>
      <c r="E15" s="16"/>
      <c r="F15" s="16"/>
      <c r="G15" s="16"/>
      <c r="H15" s="16"/>
    </row>
    <row r="16" spans="1:8" ht="18" customHeight="1" x14ac:dyDescent="0.3">
      <c r="A16" s="22" t="s">
        <v>288</v>
      </c>
      <c r="B16" s="16"/>
      <c r="C16" s="16"/>
      <c r="D16" s="16"/>
      <c r="E16" s="16"/>
      <c r="F16" s="16"/>
      <c r="G16" s="16"/>
      <c r="H16" s="16"/>
    </row>
    <row r="17" spans="1:8" ht="30" customHeight="1" x14ac:dyDescent="0.3">
      <c r="A17" s="18" t="s">
        <v>289</v>
      </c>
      <c r="B17" s="16"/>
      <c r="C17" s="16"/>
      <c r="D17" s="16"/>
      <c r="E17" s="16"/>
      <c r="F17" s="16"/>
      <c r="G17" s="16"/>
      <c r="H17" s="16"/>
    </row>
    <row r="18" spans="1:8" ht="28.05" customHeight="1" x14ac:dyDescent="0.3">
      <c r="A18" s="18" t="s">
        <v>290</v>
      </c>
      <c r="B18" s="16"/>
      <c r="C18" s="16"/>
      <c r="D18" s="16"/>
      <c r="E18" s="16"/>
      <c r="F18" s="16"/>
      <c r="G18" s="16"/>
      <c r="H18" s="16"/>
    </row>
    <row r="20" spans="1:8" ht="24" customHeight="1" x14ac:dyDescent="0.3">
      <c r="A20" s="23" t="s">
        <v>291</v>
      </c>
      <c r="B20" s="16"/>
      <c r="C20" s="16"/>
      <c r="D20" s="16"/>
      <c r="E20" s="16"/>
      <c r="F20" s="16"/>
      <c r="G20" s="16"/>
      <c r="H20" s="16"/>
    </row>
    <row r="22" spans="1:8" ht="24" customHeight="1" x14ac:dyDescent="0.3">
      <c r="A22" s="20" t="s">
        <v>292</v>
      </c>
      <c r="B22" s="16"/>
      <c r="C22" s="16"/>
      <c r="D22" s="16"/>
      <c r="E22" s="16"/>
      <c r="F22" s="16"/>
      <c r="G22" s="16"/>
      <c r="H22" s="16"/>
    </row>
  </sheetData>
  <mergeCells count="19">
    <mergeCell ref="A22:H22"/>
    <mergeCell ref="A17:H17"/>
    <mergeCell ref="A4:H4"/>
    <mergeCell ref="A20:H20"/>
    <mergeCell ref="A10:H10"/>
    <mergeCell ref="A13:H13"/>
    <mergeCell ref="A16:H16"/>
    <mergeCell ref="A12:H12"/>
    <mergeCell ref="A18:H18"/>
    <mergeCell ref="A2:H2"/>
    <mergeCell ref="A14:H14"/>
    <mergeCell ref="A5:H5"/>
    <mergeCell ref="A8:H8"/>
    <mergeCell ref="A9:H9"/>
    <mergeCell ref="A15:H15"/>
    <mergeCell ref="A11:H11"/>
    <mergeCell ref="A1:H1"/>
    <mergeCell ref="A6:H6"/>
    <mergeCell ref="A7:H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7"/>
  <sheetViews>
    <sheetView workbookViewId="0">
      <selection sqref="A1:H1"/>
    </sheetView>
  </sheetViews>
  <sheetFormatPr defaultRowHeight="14.4" x14ac:dyDescent="0.3"/>
  <cols>
    <col min="1" max="1" width="22" customWidth="1"/>
    <col min="2" max="3" width="16" customWidth="1"/>
    <col min="4" max="4" width="22" customWidth="1"/>
    <col min="5" max="8" width="14" customWidth="1"/>
  </cols>
  <sheetData>
    <row r="1" spans="1:8" ht="30" customHeight="1" x14ac:dyDescent="0.3">
      <c r="A1" s="17" t="s">
        <v>293</v>
      </c>
      <c r="B1" s="16"/>
      <c r="C1" s="16"/>
      <c r="D1" s="16"/>
      <c r="E1" s="16"/>
      <c r="F1" s="16"/>
      <c r="G1" s="16"/>
      <c r="H1" s="16"/>
    </row>
    <row r="2" spans="1:8" ht="19.95" customHeight="1" x14ac:dyDescent="0.3">
      <c r="A2" s="15" t="s">
        <v>294</v>
      </c>
      <c r="B2" s="16"/>
      <c r="C2" s="16"/>
      <c r="D2" s="16"/>
      <c r="E2" s="16"/>
      <c r="F2" s="16"/>
      <c r="G2" s="16"/>
      <c r="H2" s="16"/>
    </row>
    <row r="4" spans="1:8" ht="22.05" customHeight="1" x14ac:dyDescent="0.3">
      <c r="A4" s="21" t="s">
        <v>191</v>
      </c>
      <c r="B4" s="16"/>
      <c r="C4" s="16"/>
      <c r="D4" s="16"/>
      <c r="E4" s="16"/>
      <c r="F4" s="16"/>
      <c r="G4" s="16"/>
      <c r="H4" s="16"/>
    </row>
    <row r="5" spans="1:8" ht="18" customHeight="1" x14ac:dyDescent="0.3">
      <c r="A5" s="22" t="s">
        <v>295</v>
      </c>
      <c r="B5" s="16"/>
      <c r="C5" s="16"/>
      <c r="D5" s="16"/>
      <c r="E5" s="16"/>
      <c r="F5" s="16"/>
      <c r="G5" s="16"/>
      <c r="H5" s="16"/>
    </row>
    <row r="6" spans="1:8" ht="30" customHeight="1" x14ac:dyDescent="0.3">
      <c r="A6" s="18" t="s">
        <v>296</v>
      </c>
      <c r="B6" s="16"/>
      <c r="C6" s="16"/>
      <c r="D6" s="16"/>
      <c r="E6" s="16"/>
      <c r="F6" s="16"/>
      <c r="G6" s="16"/>
      <c r="H6" s="16"/>
    </row>
    <row r="7" spans="1:8" ht="15" customHeight="1" x14ac:dyDescent="0.3">
      <c r="A7" s="18" t="s">
        <v>297</v>
      </c>
      <c r="B7" s="16"/>
      <c r="C7" s="16"/>
      <c r="D7" s="16"/>
      <c r="E7" s="16"/>
      <c r="F7" s="16"/>
      <c r="G7" s="16"/>
      <c r="H7" s="16"/>
    </row>
    <row r="8" spans="1:8" ht="28.05" customHeight="1" x14ac:dyDescent="0.3">
      <c r="A8" s="18" t="s">
        <v>298</v>
      </c>
      <c r="B8" s="16"/>
      <c r="C8" s="16"/>
      <c r="D8" s="16"/>
      <c r="E8" s="16"/>
      <c r="F8" s="16"/>
      <c r="G8" s="16"/>
      <c r="H8" s="16"/>
    </row>
    <row r="9" spans="1:8" ht="18" customHeight="1" x14ac:dyDescent="0.3">
      <c r="A9" s="22" t="s">
        <v>299</v>
      </c>
      <c r="B9" s="16"/>
      <c r="C9" s="16"/>
      <c r="D9" s="16"/>
      <c r="E9" s="16"/>
      <c r="F9" s="16"/>
      <c r="G9" s="16"/>
      <c r="H9" s="16"/>
    </row>
    <row r="10" spans="1:8" ht="30" customHeight="1" x14ac:dyDescent="0.3">
      <c r="A10" s="18" t="s">
        <v>300</v>
      </c>
      <c r="B10" s="16"/>
      <c r="C10" s="16"/>
      <c r="D10" s="16"/>
      <c r="E10" s="16"/>
      <c r="F10" s="16"/>
      <c r="G10" s="16"/>
      <c r="H10" s="16"/>
    </row>
    <row r="11" spans="1:8" ht="15" customHeight="1" x14ac:dyDescent="0.3">
      <c r="A11" s="18" t="s">
        <v>301</v>
      </c>
      <c r="B11" s="16"/>
      <c r="C11" s="16"/>
      <c r="D11" s="16"/>
      <c r="E11" s="16"/>
      <c r="F11" s="16"/>
      <c r="G11" s="16"/>
      <c r="H11" s="16"/>
    </row>
    <row r="12" spans="1:8" ht="15" customHeight="1" x14ac:dyDescent="0.3">
      <c r="A12" s="18" t="s">
        <v>302</v>
      </c>
      <c r="B12" s="16"/>
      <c r="C12" s="16"/>
      <c r="D12" s="16"/>
      <c r="E12" s="16"/>
      <c r="F12" s="16"/>
      <c r="G12" s="16"/>
      <c r="H12" s="16"/>
    </row>
    <row r="13" spans="1:8" ht="15" customHeight="1" x14ac:dyDescent="0.3">
      <c r="A13" s="18" t="s">
        <v>303</v>
      </c>
      <c r="B13" s="16"/>
      <c r="C13" s="16"/>
      <c r="D13" s="16"/>
      <c r="E13" s="16"/>
      <c r="F13" s="16"/>
      <c r="G13" s="16"/>
      <c r="H13" s="16"/>
    </row>
    <row r="15" spans="1:8" ht="55.95" customHeight="1" x14ac:dyDescent="0.3">
      <c r="A15" s="18" t="s">
        <v>304</v>
      </c>
      <c r="B15" s="16"/>
      <c r="C15" s="16"/>
      <c r="D15" s="16"/>
      <c r="E15" s="16"/>
      <c r="F15" s="16"/>
      <c r="G15" s="16"/>
      <c r="H15" s="16"/>
    </row>
    <row r="17" spans="1:8" ht="24" customHeight="1" x14ac:dyDescent="0.3">
      <c r="A17" s="20" t="s">
        <v>305</v>
      </c>
      <c r="B17" s="16"/>
      <c r="C17" s="16"/>
      <c r="D17" s="16"/>
      <c r="E17" s="16"/>
      <c r="F17" s="16"/>
      <c r="G17" s="16"/>
      <c r="H17" s="16"/>
    </row>
  </sheetData>
  <mergeCells count="14">
    <mergeCell ref="A17:H17"/>
    <mergeCell ref="A1:H1"/>
    <mergeCell ref="A4:H4"/>
    <mergeCell ref="A9:H9"/>
    <mergeCell ref="A12:H12"/>
    <mergeCell ref="A15:H15"/>
    <mergeCell ref="A7:H7"/>
    <mergeCell ref="A2:H2"/>
    <mergeCell ref="A10:H10"/>
    <mergeCell ref="A13:H13"/>
    <mergeCell ref="A11:H11"/>
    <mergeCell ref="A5:H5"/>
    <mergeCell ref="A8:H8"/>
    <mergeCell ref="A6:H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1"/>
  <sheetViews>
    <sheetView workbookViewId="0"/>
  </sheetViews>
  <sheetFormatPr defaultRowHeight="14.4" x14ac:dyDescent="0.3"/>
  <cols>
    <col min="1" max="1" width="22" customWidth="1"/>
    <col min="2" max="3" width="16" customWidth="1"/>
    <col min="4" max="4" width="22" customWidth="1"/>
    <col min="5" max="8" width="14" customWidth="1"/>
  </cols>
  <sheetData>
    <row r="1" spans="1:8" ht="30" customHeight="1" x14ac:dyDescent="0.3">
      <c r="A1" s="17" t="s">
        <v>306</v>
      </c>
      <c r="B1" s="16"/>
      <c r="C1" s="16"/>
      <c r="D1" s="16"/>
      <c r="E1" s="16"/>
      <c r="F1" s="16"/>
      <c r="G1" s="16"/>
      <c r="H1" s="16"/>
    </row>
    <row r="2" spans="1:8" ht="19.95" customHeight="1" x14ac:dyDescent="0.3">
      <c r="A2" s="15" t="s">
        <v>307</v>
      </c>
      <c r="B2" s="16"/>
      <c r="C2" s="16"/>
      <c r="D2" s="16"/>
      <c r="E2" s="16"/>
      <c r="F2" s="16"/>
      <c r="G2" s="16"/>
      <c r="H2" s="16"/>
    </row>
    <row r="4" spans="1:8" ht="22.05" customHeight="1" x14ac:dyDescent="0.3">
      <c r="A4" s="21" t="s">
        <v>191</v>
      </c>
      <c r="B4" s="16"/>
      <c r="C4" s="16"/>
      <c r="D4" s="16"/>
      <c r="E4" s="16"/>
      <c r="F4" s="16"/>
      <c r="G4" s="16"/>
      <c r="H4" s="16"/>
    </row>
    <row r="5" spans="1:8" ht="18" customHeight="1" x14ac:dyDescent="0.3">
      <c r="A5" s="22" t="s">
        <v>308</v>
      </c>
      <c r="B5" s="16"/>
      <c r="C5" s="16"/>
      <c r="D5" s="16"/>
      <c r="E5" s="16"/>
      <c r="F5" s="16"/>
      <c r="G5" s="16"/>
      <c r="H5" s="16"/>
    </row>
    <row r="6" spans="1:8" ht="30" customHeight="1" x14ac:dyDescent="0.3">
      <c r="A6" s="18" t="s">
        <v>309</v>
      </c>
      <c r="B6" s="16"/>
      <c r="C6" s="16"/>
      <c r="D6" s="16"/>
      <c r="E6" s="16"/>
      <c r="F6" s="16"/>
      <c r="G6" s="16"/>
      <c r="H6" s="16"/>
    </row>
    <row r="7" spans="1:8" ht="28.05" customHeight="1" x14ac:dyDescent="0.3">
      <c r="A7" s="18" t="s">
        <v>310</v>
      </c>
      <c r="B7" s="16"/>
      <c r="C7" s="16"/>
      <c r="D7" s="16"/>
      <c r="E7" s="16"/>
      <c r="F7" s="16"/>
      <c r="G7" s="16"/>
      <c r="H7" s="16"/>
    </row>
    <row r="8" spans="1:8" ht="28.05" customHeight="1" x14ac:dyDescent="0.3">
      <c r="A8" s="18" t="s">
        <v>311</v>
      </c>
      <c r="B8" s="16"/>
      <c r="C8" s="16"/>
      <c r="D8" s="16"/>
      <c r="E8" s="16"/>
      <c r="F8" s="16"/>
      <c r="G8" s="16"/>
      <c r="H8" s="16"/>
    </row>
    <row r="9" spans="1:8" ht="15" customHeight="1" x14ac:dyDescent="0.3">
      <c r="A9" s="18" t="s">
        <v>312</v>
      </c>
      <c r="B9" s="16"/>
      <c r="C9" s="16"/>
      <c r="D9" s="16"/>
      <c r="E9" s="16"/>
      <c r="F9" s="16"/>
      <c r="G9" s="16"/>
      <c r="H9" s="16"/>
    </row>
    <row r="10" spans="1:8" ht="18" customHeight="1" x14ac:dyDescent="0.3">
      <c r="A10" s="22" t="s">
        <v>313</v>
      </c>
      <c r="B10" s="16"/>
      <c r="C10" s="16"/>
      <c r="D10" s="16"/>
      <c r="E10" s="16"/>
      <c r="F10" s="16"/>
      <c r="G10" s="16"/>
      <c r="H10" s="16"/>
    </row>
    <row r="11" spans="1:8" ht="30" customHeight="1" x14ac:dyDescent="0.3">
      <c r="A11" s="18" t="s">
        <v>314</v>
      </c>
      <c r="B11" s="16"/>
      <c r="C11" s="16"/>
      <c r="D11" s="16"/>
      <c r="E11" s="16"/>
      <c r="F11" s="16"/>
      <c r="G11" s="16"/>
      <c r="H11" s="16"/>
    </row>
    <row r="12" spans="1:8" ht="28.05" customHeight="1" x14ac:dyDescent="0.3">
      <c r="A12" s="18" t="s">
        <v>315</v>
      </c>
      <c r="B12" s="16"/>
      <c r="C12" s="16"/>
      <c r="D12" s="16"/>
      <c r="E12" s="16"/>
      <c r="F12" s="16"/>
      <c r="G12" s="16"/>
      <c r="H12" s="16"/>
    </row>
    <row r="13" spans="1:8" ht="15" customHeight="1" x14ac:dyDescent="0.3">
      <c r="A13" s="18" t="s">
        <v>316</v>
      </c>
      <c r="B13" s="16"/>
      <c r="C13" s="16"/>
      <c r="D13" s="16"/>
      <c r="E13" s="16"/>
      <c r="F13" s="16"/>
      <c r="G13" s="16"/>
      <c r="H13" s="16"/>
    </row>
    <row r="14" spans="1:8" ht="18" customHeight="1" x14ac:dyDescent="0.3">
      <c r="A14" s="22" t="s">
        <v>317</v>
      </c>
      <c r="B14" s="16"/>
      <c r="C14" s="16"/>
      <c r="D14" s="16"/>
      <c r="E14" s="16"/>
      <c r="F14" s="16"/>
      <c r="G14" s="16"/>
      <c r="H14" s="16"/>
    </row>
    <row r="15" spans="1:8" ht="30" customHeight="1" x14ac:dyDescent="0.3">
      <c r="A15" s="18" t="s">
        <v>318</v>
      </c>
      <c r="B15" s="16"/>
      <c r="C15" s="16"/>
      <c r="D15" s="16"/>
      <c r="E15" s="16"/>
      <c r="F15" s="16"/>
      <c r="G15" s="16"/>
      <c r="H15" s="16"/>
    </row>
    <row r="16" spans="1:8" ht="15" customHeight="1" x14ac:dyDescent="0.3">
      <c r="A16" s="18" t="s">
        <v>319</v>
      </c>
      <c r="B16" s="16"/>
      <c r="C16" s="16"/>
      <c r="D16" s="16"/>
      <c r="E16" s="16"/>
      <c r="F16" s="16"/>
      <c r="G16" s="16"/>
      <c r="H16" s="16"/>
    </row>
    <row r="17" spans="1:8" ht="15" customHeight="1" x14ac:dyDescent="0.3">
      <c r="A17" s="18" t="s">
        <v>320</v>
      </c>
      <c r="B17" s="16"/>
      <c r="C17" s="16"/>
      <c r="D17" s="16"/>
      <c r="E17" s="16"/>
      <c r="F17" s="16"/>
      <c r="G17" s="16"/>
      <c r="H17" s="16"/>
    </row>
    <row r="19" spans="1:8" ht="24" customHeight="1" x14ac:dyDescent="0.3">
      <c r="A19" s="23" t="s">
        <v>321</v>
      </c>
      <c r="B19" s="16"/>
      <c r="C19" s="16"/>
      <c r="D19" s="16"/>
      <c r="E19" s="16"/>
      <c r="F19" s="16"/>
      <c r="G19" s="16"/>
      <c r="H19" s="16"/>
    </row>
    <row r="21" spans="1:8" ht="16.05" customHeight="1" x14ac:dyDescent="0.3">
      <c r="A21" s="25" t="s">
        <v>322</v>
      </c>
      <c r="B21" s="16"/>
      <c r="C21" s="16"/>
      <c r="D21" s="16"/>
      <c r="E21" s="16"/>
      <c r="F21" s="16"/>
      <c r="G21" s="16"/>
      <c r="H21" s="16"/>
    </row>
    <row r="22" spans="1:8" ht="15" customHeight="1" x14ac:dyDescent="0.3">
      <c r="A22" s="24" t="s">
        <v>323</v>
      </c>
      <c r="B22" s="16"/>
      <c r="C22" s="16"/>
      <c r="D22" s="16"/>
      <c r="E22" s="16"/>
      <c r="F22" s="16"/>
      <c r="G22" s="16"/>
      <c r="H22" s="16"/>
    </row>
    <row r="23" spans="1:8" ht="15" customHeight="1" x14ac:dyDescent="0.3">
      <c r="A23" s="24" t="s">
        <v>324</v>
      </c>
      <c r="B23" s="16"/>
      <c r="C23" s="16"/>
      <c r="D23" s="16"/>
      <c r="E23" s="16"/>
      <c r="F23" s="16"/>
      <c r="G23" s="16"/>
      <c r="H23" s="16"/>
    </row>
    <row r="24" spans="1:8" ht="15" customHeight="1" x14ac:dyDescent="0.3">
      <c r="A24" s="24" t="s">
        <v>325</v>
      </c>
      <c r="B24" s="16"/>
      <c r="C24" s="16"/>
      <c r="D24" s="16"/>
      <c r="E24" s="16"/>
      <c r="F24" s="16"/>
      <c r="G24" s="16"/>
      <c r="H24" s="16"/>
    </row>
    <row r="25" spans="1:8" ht="15" customHeight="1" x14ac:dyDescent="0.3">
      <c r="A25" s="24" t="s">
        <v>326</v>
      </c>
      <c r="B25" s="16"/>
      <c r="C25" s="16"/>
      <c r="D25" s="16"/>
      <c r="E25" s="16"/>
      <c r="F25" s="16"/>
      <c r="G25" s="16"/>
      <c r="H25" s="16"/>
    </row>
    <row r="26" spans="1:8" ht="15" customHeight="1" x14ac:dyDescent="0.3">
      <c r="A26" s="24" t="s">
        <v>327</v>
      </c>
      <c r="B26" s="16"/>
      <c r="C26" s="16"/>
      <c r="D26" s="16"/>
      <c r="E26" s="16"/>
      <c r="F26" s="16"/>
      <c r="G26" s="16"/>
      <c r="H26" s="16"/>
    </row>
    <row r="27" spans="1:8" ht="15" customHeight="1" x14ac:dyDescent="0.3">
      <c r="A27" s="24" t="s">
        <v>328</v>
      </c>
      <c r="B27" s="16"/>
      <c r="C27" s="16"/>
      <c r="D27" s="16"/>
      <c r="E27" s="16"/>
      <c r="F27" s="16"/>
      <c r="G27" s="16"/>
      <c r="H27" s="16"/>
    </row>
    <row r="28" spans="1:8" ht="15" customHeight="1" x14ac:dyDescent="0.3">
      <c r="A28" s="24" t="s">
        <v>329</v>
      </c>
      <c r="B28" s="16"/>
      <c r="C28" s="16"/>
      <c r="D28" s="16"/>
      <c r="E28" s="16"/>
      <c r="F28" s="16"/>
      <c r="G28" s="16"/>
      <c r="H28" s="16"/>
    </row>
    <row r="29" spans="1:8" ht="15" customHeight="1" x14ac:dyDescent="0.3">
      <c r="A29" s="24" t="s">
        <v>330</v>
      </c>
      <c r="B29" s="16"/>
      <c r="C29" s="16"/>
      <c r="D29" s="16"/>
      <c r="E29" s="16"/>
      <c r="F29" s="16"/>
      <c r="G29" s="16"/>
      <c r="H29" s="16"/>
    </row>
    <row r="31" spans="1:8" ht="24" customHeight="1" x14ac:dyDescent="0.3">
      <c r="A31" s="20" t="s">
        <v>331</v>
      </c>
      <c r="B31" s="16"/>
      <c r="C31" s="16"/>
      <c r="D31" s="16"/>
      <c r="E31" s="16"/>
      <c r="F31" s="16"/>
      <c r="G31" s="16"/>
      <c r="H31" s="16"/>
    </row>
  </sheetData>
  <mergeCells count="27">
    <mergeCell ref="A31:H31"/>
    <mergeCell ref="A29:H29"/>
    <mergeCell ref="A10:H10"/>
    <mergeCell ref="A28:H28"/>
    <mergeCell ref="A13:H13"/>
    <mergeCell ref="A19:H19"/>
    <mergeCell ref="A25:H25"/>
    <mergeCell ref="A16:H16"/>
    <mergeCell ref="A27:H27"/>
    <mergeCell ref="A12:H12"/>
    <mergeCell ref="A26:H26"/>
    <mergeCell ref="A21:H21"/>
    <mergeCell ref="A14:H14"/>
    <mergeCell ref="A23:H23"/>
    <mergeCell ref="A22:H22"/>
    <mergeCell ref="A17:H17"/>
    <mergeCell ref="A9:H9"/>
    <mergeCell ref="A15:H15"/>
    <mergeCell ref="A24:H24"/>
    <mergeCell ref="A11:H11"/>
    <mergeCell ref="A1:H1"/>
    <mergeCell ref="A6:H6"/>
    <mergeCell ref="A7:H7"/>
    <mergeCell ref="A2:H2"/>
    <mergeCell ref="A5:H5"/>
    <mergeCell ref="A8:H8"/>
    <mergeCell ref="A4:H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2"/>
  <sheetViews>
    <sheetView workbookViewId="0"/>
  </sheetViews>
  <sheetFormatPr defaultRowHeight="14.4" x14ac:dyDescent="0.3"/>
  <cols>
    <col min="1" max="1" width="22" customWidth="1"/>
    <col min="2" max="3" width="16" customWidth="1"/>
    <col min="4" max="4" width="22" customWidth="1"/>
    <col min="5" max="8" width="14" customWidth="1"/>
  </cols>
  <sheetData>
    <row r="1" spans="1:8" ht="30" customHeight="1" x14ac:dyDescent="0.3">
      <c r="A1" s="17" t="s">
        <v>332</v>
      </c>
      <c r="B1" s="16"/>
      <c r="C1" s="16"/>
      <c r="D1" s="16"/>
      <c r="E1" s="16"/>
      <c r="F1" s="16"/>
      <c r="G1" s="16"/>
      <c r="H1" s="16"/>
    </row>
    <row r="2" spans="1:8" ht="19.95" customHeight="1" x14ac:dyDescent="0.3">
      <c r="A2" s="15" t="s">
        <v>333</v>
      </c>
      <c r="B2" s="16"/>
      <c r="C2" s="16"/>
      <c r="D2" s="16"/>
      <c r="E2" s="16"/>
      <c r="F2" s="16"/>
      <c r="G2" s="16"/>
      <c r="H2" s="16"/>
    </row>
    <row r="4" spans="1:8" ht="22.05" customHeight="1" x14ac:dyDescent="0.3">
      <c r="A4" s="21" t="s">
        <v>191</v>
      </c>
      <c r="B4" s="16"/>
      <c r="C4" s="16"/>
      <c r="D4" s="16"/>
      <c r="E4" s="16"/>
      <c r="F4" s="16"/>
      <c r="G4" s="16"/>
      <c r="H4" s="16"/>
    </row>
    <row r="5" spans="1:8" ht="18" customHeight="1" x14ac:dyDescent="0.3">
      <c r="A5" s="22" t="s">
        <v>334</v>
      </c>
      <c r="B5" s="16"/>
      <c r="C5" s="16"/>
      <c r="D5" s="16"/>
      <c r="E5" s="16"/>
      <c r="F5" s="16"/>
      <c r="G5" s="16"/>
      <c r="H5" s="16"/>
    </row>
    <row r="6" spans="1:8" ht="30" customHeight="1" x14ac:dyDescent="0.3">
      <c r="A6" s="18" t="s">
        <v>335</v>
      </c>
      <c r="B6" s="16"/>
      <c r="C6" s="16"/>
      <c r="D6" s="16"/>
      <c r="E6" s="16"/>
      <c r="F6" s="16"/>
      <c r="G6" s="16"/>
      <c r="H6" s="16"/>
    </row>
    <row r="7" spans="1:8" ht="15" customHeight="1" x14ac:dyDescent="0.3">
      <c r="A7" s="18" t="s">
        <v>336</v>
      </c>
      <c r="B7" s="16"/>
      <c r="C7" s="16"/>
      <c r="D7" s="16"/>
      <c r="E7" s="16"/>
      <c r="F7" s="16"/>
      <c r="G7" s="16"/>
      <c r="H7" s="16"/>
    </row>
    <row r="8" spans="1:8" ht="15" customHeight="1" x14ac:dyDescent="0.3">
      <c r="A8" s="18" t="s">
        <v>337</v>
      </c>
      <c r="B8" s="16"/>
      <c r="C8" s="16"/>
      <c r="D8" s="16"/>
      <c r="E8" s="16"/>
      <c r="F8" s="16"/>
      <c r="G8" s="16"/>
      <c r="H8" s="16"/>
    </row>
    <row r="9" spans="1:8" ht="18" customHeight="1" x14ac:dyDescent="0.3">
      <c r="A9" s="22" t="s">
        <v>338</v>
      </c>
      <c r="B9" s="16"/>
      <c r="C9" s="16"/>
      <c r="D9" s="16"/>
      <c r="E9" s="16"/>
      <c r="F9" s="16"/>
      <c r="G9" s="16"/>
      <c r="H9" s="16"/>
    </row>
    <row r="10" spans="1:8" ht="30" customHeight="1" x14ac:dyDescent="0.3">
      <c r="A10" s="18" t="s">
        <v>339</v>
      </c>
      <c r="B10" s="16"/>
      <c r="C10" s="16"/>
      <c r="D10" s="16"/>
      <c r="E10" s="16"/>
      <c r="F10" s="16"/>
      <c r="G10" s="16"/>
      <c r="H10" s="16"/>
    </row>
    <row r="11" spans="1:8" ht="28.05" customHeight="1" x14ac:dyDescent="0.3">
      <c r="A11" s="18" t="s">
        <v>340</v>
      </c>
      <c r="B11" s="16"/>
      <c r="C11" s="16"/>
      <c r="D11" s="16"/>
      <c r="E11" s="16"/>
      <c r="F11" s="16"/>
      <c r="G11" s="16"/>
      <c r="H11" s="16"/>
    </row>
    <row r="12" spans="1:8" ht="15" customHeight="1" x14ac:dyDescent="0.3">
      <c r="A12" s="18" t="s">
        <v>341</v>
      </c>
      <c r="B12" s="16"/>
      <c r="C12" s="16"/>
      <c r="D12" s="16"/>
      <c r="E12" s="16"/>
      <c r="F12" s="16"/>
      <c r="G12" s="16"/>
      <c r="H12" s="16"/>
    </row>
    <row r="13" spans="1:8" ht="18" customHeight="1" x14ac:dyDescent="0.3">
      <c r="A13" s="22" t="s">
        <v>342</v>
      </c>
      <c r="B13" s="16"/>
      <c r="C13" s="16"/>
      <c r="D13" s="16"/>
      <c r="E13" s="16"/>
      <c r="F13" s="16"/>
      <c r="G13" s="16"/>
      <c r="H13" s="16"/>
    </row>
    <row r="14" spans="1:8" ht="30" customHeight="1" x14ac:dyDescent="0.3">
      <c r="A14" s="18" t="s">
        <v>343</v>
      </c>
      <c r="B14" s="16"/>
      <c r="C14" s="16"/>
      <c r="D14" s="16"/>
      <c r="E14" s="16"/>
      <c r="F14" s="16"/>
      <c r="G14" s="16"/>
      <c r="H14" s="16"/>
    </row>
    <row r="15" spans="1:8" ht="15" customHeight="1" x14ac:dyDescent="0.3">
      <c r="A15" s="18" t="s">
        <v>344</v>
      </c>
      <c r="B15" s="16"/>
      <c r="C15" s="16"/>
      <c r="D15" s="16"/>
      <c r="E15" s="16"/>
      <c r="F15" s="16"/>
      <c r="G15" s="16"/>
      <c r="H15" s="16"/>
    </row>
    <row r="17" spans="1:8" ht="24" customHeight="1" x14ac:dyDescent="0.3">
      <c r="A17" s="23" t="s">
        <v>345</v>
      </c>
      <c r="B17" s="16"/>
      <c r="C17" s="16"/>
      <c r="D17" s="16"/>
      <c r="E17" s="16"/>
      <c r="F17" s="16"/>
      <c r="G17" s="16"/>
      <c r="H17" s="16"/>
    </row>
    <row r="19" spans="1:8" ht="22.05" customHeight="1" x14ac:dyDescent="0.3">
      <c r="A19" s="21" t="s">
        <v>346</v>
      </c>
      <c r="B19" s="16"/>
      <c r="C19" s="16"/>
      <c r="D19" s="16"/>
      <c r="E19" s="16"/>
      <c r="F19" s="16"/>
      <c r="G19" s="16"/>
      <c r="H19" s="16"/>
    </row>
    <row r="20" spans="1:8" ht="15" x14ac:dyDescent="0.35">
      <c r="A20" s="13" t="s">
        <v>104</v>
      </c>
      <c r="B20" s="13" t="s">
        <v>47</v>
      </c>
      <c r="C20" s="13" t="s">
        <v>347</v>
      </c>
      <c r="D20" s="13" t="s">
        <v>348</v>
      </c>
    </row>
    <row r="21" spans="1:8" x14ac:dyDescent="0.3">
      <c r="A21" s="11">
        <v>20</v>
      </c>
      <c r="B21" s="14">
        <v>2.2000000000000002</v>
      </c>
      <c r="C21" s="6"/>
      <c r="D21" s="9"/>
    </row>
    <row r="22" spans="1:8" x14ac:dyDescent="0.3">
      <c r="A22" s="11">
        <v>33</v>
      </c>
      <c r="B22" s="14">
        <v>65.180000000000007</v>
      </c>
      <c r="C22" s="6"/>
      <c r="D22" s="9"/>
    </row>
    <row r="23" spans="1:8" x14ac:dyDescent="0.3">
      <c r="A23" s="11">
        <v>10</v>
      </c>
      <c r="B23" s="14">
        <v>6.64</v>
      </c>
      <c r="C23" s="6"/>
      <c r="D23" s="9"/>
    </row>
    <row r="24" spans="1:8" x14ac:dyDescent="0.3">
      <c r="A24" s="11">
        <v>250</v>
      </c>
      <c r="B24" s="14">
        <v>48.9</v>
      </c>
      <c r="C24" s="6"/>
      <c r="D24" s="9"/>
    </row>
    <row r="25" spans="1:8" x14ac:dyDescent="0.3">
      <c r="A25" s="11">
        <v>5</v>
      </c>
      <c r="B25" s="14">
        <v>1200</v>
      </c>
      <c r="C25" s="6"/>
      <c r="D25" s="9"/>
    </row>
    <row r="27" spans="1:8" ht="16.05" customHeight="1" x14ac:dyDescent="0.3">
      <c r="A27" s="25" t="s">
        <v>322</v>
      </c>
      <c r="B27" s="16"/>
      <c r="C27" s="16"/>
      <c r="D27" s="16"/>
      <c r="E27" s="16"/>
      <c r="F27" s="16"/>
      <c r="G27" s="16"/>
      <c r="H27" s="16"/>
    </row>
    <row r="28" spans="1:8" ht="15" customHeight="1" x14ac:dyDescent="0.3">
      <c r="A28" s="24" t="s">
        <v>349</v>
      </c>
      <c r="B28" s="16"/>
      <c r="C28" s="16"/>
      <c r="D28" s="16"/>
      <c r="E28" s="16"/>
      <c r="F28" s="16"/>
      <c r="G28" s="16"/>
      <c r="H28" s="16"/>
    </row>
    <row r="29" spans="1:8" ht="15" customHeight="1" x14ac:dyDescent="0.3">
      <c r="A29" s="24" t="s">
        <v>178</v>
      </c>
      <c r="B29" s="16"/>
      <c r="C29" s="16"/>
      <c r="D29" s="16"/>
      <c r="E29" s="16"/>
      <c r="F29" s="16"/>
      <c r="G29" s="16"/>
      <c r="H29" s="16"/>
    </row>
    <row r="30" spans="1:8" ht="15" customHeight="1" x14ac:dyDescent="0.3">
      <c r="A30" s="24" t="s">
        <v>350</v>
      </c>
      <c r="B30" s="16"/>
      <c r="C30" s="16"/>
      <c r="D30" s="16"/>
      <c r="E30" s="16"/>
      <c r="F30" s="16"/>
      <c r="G30" s="16"/>
      <c r="H30" s="16"/>
    </row>
    <row r="31" spans="1:8" ht="15" customHeight="1" x14ac:dyDescent="0.3">
      <c r="A31" s="24" t="s">
        <v>351</v>
      </c>
      <c r="B31" s="16"/>
      <c r="C31" s="16"/>
      <c r="D31" s="16"/>
      <c r="E31" s="16"/>
      <c r="F31" s="16"/>
      <c r="G31" s="16"/>
      <c r="H31" s="16"/>
    </row>
    <row r="32" spans="1:8" ht="15" customHeight="1" x14ac:dyDescent="0.3">
      <c r="A32" s="24" t="s">
        <v>352</v>
      </c>
      <c r="B32" s="16"/>
      <c r="C32" s="16"/>
      <c r="D32" s="16"/>
      <c r="E32" s="16"/>
      <c r="F32" s="16"/>
      <c r="G32" s="16"/>
      <c r="H32" s="16"/>
    </row>
    <row r="33" spans="1:8" ht="15" customHeight="1" x14ac:dyDescent="0.3">
      <c r="A33" s="24" t="s">
        <v>353</v>
      </c>
      <c r="B33" s="16"/>
      <c r="C33" s="16"/>
      <c r="D33" s="16"/>
      <c r="E33" s="16"/>
      <c r="F33" s="16"/>
      <c r="G33" s="16"/>
      <c r="H33" s="16"/>
    </row>
    <row r="34" spans="1:8" ht="15" customHeight="1" x14ac:dyDescent="0.3">
      <c r="A34" s="24" t="s">
        <v>354</v>
      </c>
      <c r="B34" s="16"/>
      <c r="C34" s="16"/>
      <c r="D34" s="16"/>
      <c r="E34" s="16"/>
      <c r="F34" s="16"/>
      <c r="G34" s="16"/>
      <c r="H34" s="16"/>
    </row>
    <row r="35" spans="1:8" ht="15" customHeight="1" x14ac:dyDescent="0.3">
      <c r="A35" s="24" t="s">
        <v>355</v>
      </c>
      <c r="B35" s="16"/>
      <c r="C35" s="16"/>
      <c r="D35" s="16"/>
      <c r="E35" s="16"/>
      <c r="F35" s="16"/>
      <c r="G35" s="16"/>
      <c r="H35" s="16"/>
    </row>
    <row r="36" spans="1:8" ht="15" customHeight="1" x14ac:dyDescent="0.3">
      <c r="A36" s="24" t="s">
        <v>356</v>
      </c>
      <c r="B36" s="16"/>
      <c r="C36" s="16"/>
      <c r="D36" s="16"/>
      <c r="E36" s="16"/>
      <c r="F36" s="16"/>
      <c r="G36" s="16"/>
      <c r="H36" s="16"/>
    </row>
    <row r="37" spans="1:8" ht="15" customHeight="1" x14ac:dyDescent="0.3">
      <c r="A37" s="24" t="s">
        <v>357</v>
      </c>
      <c r="B37" s="16"/>
      <c r="C37" s="16"/>
      <c r="D37" s="16"/>
      <c r="E37" s="16"/>
      <c r="F37" s="16"/>
      <c r="G37" s="16"/>
      <c r="H37" s="16"/>
    </row>
    <row r="38" spans="1:8" ht="15" customHeight="1" x14ac:dyDescent="0.3">
      <c r="A38" s="24" t="s">
        <v>358</v>
      </c>
      <c r="B38" s="16"/>
      <c r="C38" s="16"/>
      <c r="D38" s="16"/>
      <c r="E38" s="16"/>
      <c r="F38" s="16"/>
      <c r="G38" s="16"/>
      <c r="H38" s="16"/>
    </row>
    <row r="39" spans="1:8" ht="15" customHeight="1" x14ac:dyDescent="0.3">
      <c r="A39" s="24" t="s">
        <v>359</v>
      </c>
      <c r="B39" s="16"/>
      <c r="C39" s="16"/>
      <c r="D39" s="16"/>
      <c r="E39" s="16"/>
      <c r="F39" s="16"/>
      <c r="G39" s="16"/>
      <c r="H39" s="16"/>
    </row>
    <row r="40" spans="1:8" ht="15" customHeight="1" x14ac:dyDescent="0.3">
      <c r="A40" s="24" t="s">
        <v>330</v>
      </c>
      <c r="B40" s="16"/>
      <c r="C40" s="16"/>
      <c r="D40" s="16"/>
      <c r="E40" s="16"/>
      <c r="F40" s="16"/>
      <c r="G40" s="16"/>
      <c r="H40" s="16"/>
    </row>
    <row r="42" spans="1:8" ht="24" customHeight="1" x14ac:dyDescent="0.3">
      <c r="A42" s="20" t="s">
        <v>331</v>
      </c>
      <c r="B42" s="16"/>
      <c r="C42" s="16"/>
      <c r="D42" s="16"/>
      <c r="E42" s="16"/>
      <c r="F42" s="16"/>
      <c r="G42" s="16"/>
      <c r="H42" s="16"/>
    </row>
  </sheetData>
  <mergeCells count="31">
    <mergeCell ref="A42:H42"/>
    <mergeCell ref="A33:H33"/>
    <mergeCell ref="A14:H14"/>
    <mergeCell ref="A5:H5"/>
    <mergeCell ref="A32:H32"/>
    <mergeCell ref="A8:H8"/>
    <mergeCell ref="A17:H17"/>
    <mergeCell ref="A40:H40"/>
    <mergeCell ref="A29:H29"/>
    <mergeCell ref="A35:H35"/>
    <mergeCell ref="A38:H38"/>
    <mergeCell ref="A10:H10"/>
    <mergeCell ref="A28:H28"/>
    <mergeCell ref="A13:H13"/>
    <mergeCell ref="A19:H19"/>
    <mergeCell ref="A31:H31"/>
    <mergeCell ref="A1:H1"/>
    <mergeCell ref="A6:H6"/>
    <mergeCell ref="A7:H7"/>
    <mergeCell ref="A37:H37"/>
    <mergeCell ref="A27:H27"/>
    <mergeCell ref="A12:H12"/>
    <mergeCell ref="A2:H2"/>
    <mergeCell ref="A4:H4"/>
    <mergeCell ref="A34:H34"/>
    <mergeCell ref="A9:H9"/>
    <mergeCell ref="A30:H30"/>
    <mergeCell ref="A39:H39"/>
    <mergeCell ref="A15:H15"/>
    <mergeCell ref="A36:H36"/>
    <mergeCell ref="A11:H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6"/>
  <sheetViews>
    <sheetView workbookViewId="0"/>
  </sheetViews>
  <sheetFormatPr defaultRowHeight="14.4" x14ac:dyDescent="0.3"/>
  <cols>
    <col min="1" max="1" width="22" customWidth="1"/>
    <col min="2" max="3" width="16" customWidth="1"/>
    <col min="4" max="4" width="22" customWidth="1"/>
    <col min="5" max="8" width="14" customWidth="1"/>
  </cols>
  <sheetData>
    <row r="1" spans="1:8" ht="30" customHeight="1" x14ac:dyDescent="0.3">
      <c r="A1" s="17" t="s">
        <v>360</v>
      </c>
      <c r="B1" s="16"/>
      <c r="C1" s="16"/>
      <c r="D1" s="16"/>
      <c r="E1" s="16"/>
      <c r="F1" s="16"/>
      <c r="G1" s="16"/>
      <c r="H1" s="16"/>
    </row>
    <row r="2" spans="1:8" ht="19.95" customHeight="1" x14ac:dyDescent="0.3">
      <c r="A2" s="15" t="s">
        <v>361</v>
      </c>
      <c r="B2" s="16"/>
      <c r="C2" s="16"/>
      <c r="D2" s="16"/>
      <c r="E2" s="16"/>
      <c r="F2" s="16"/>
      <c r="G2" s="16"/>
      <c r="H2" s="16"/>
    </row>
    <row r="4" spans="1:8" ht="22.05" customHeight="1" x14ac:dyDescent="0.3">
      <c r="A4" s="21" t="s">
        <v>191</v>
      </c>
      <c r="B4" s="16"/>
      <c r="C4" s="16"/>
      <c r="D4" s="16"/>
      <c r="E4" s="16"/>
      <c r="F4" s="16"/>
      <c r="G4" s="16"/>
      <c r="H4" s="16"/>
    </row>
    <row r="5" spans="1:8" ht="18" customHeight="1" x14ac:dyDescent="0.3">
      <c r="A5" s="22" t="s">
        <v>362</v>
      </c>
      <c r="B5" s="16"/>
      <c r="C5" s="16"/>
      <c r="D5" s="16"/>
      <c r="E5" s="16"/>
      <c r="F5" s="16"/>
      <c r="G5" s="16"/>
      <c r="H5" s="16"/>
    </row>
    <row r="6" spans="1:8" ht="30" customHeight="1" x14ac:dyDescent="0.3">
      <c r="A6" s="18" t="s">
        <v>363</v>
      </c>
      <c r="B6" s="16"/>
      <c r="C6" s="16"/>
      <c r="D6" s="16"/>
      <c r="E6" s="16"/>
      <c r="F6" s="16"/>
      <c r="G6" s="16"/>
      <c r="H6" s="16"/>
    </row>
    <row r="7" spans="1:8" ht="15" customHeight="1" x14ac:dyDescent="0.3">
      <c r="A7" s="18" t="s">
        <v>364</v>
      </c>
      <c r="B7" s="16"/>
      <c r="C7" s="16"/>
      <c r="D7" s="16"/>
      <c r="E7" s="16"/>
      <c r="F7" s="16"/>
      <c r="G7" s="16"/>
      <c r="H7" s="16"/>
    </row>
    <row r="8" spans="1:8" ht="15" customHeight="1" x14ac:dyDescent="0.3">
      <c r="A8" s="18" t="s">
        <v>365</v>
      </c>
      <c r="B8" s="16"/>
      <c r="C8" s="16"/>
      <c r="D8" s="16"/>
      <c r="E8" s="16"/>
      <c r="F8" s="16"/>
      <c r="G8" s="16"/>
      <c r="H8" s="16"/>
    </row>
    <row r="9" spans="1:8" ht="15" customHeight="1" x14ac:dyDescent="0.3">
      <c r="A9" s="18" t="s">
        <v>366</v>
      </c>
      <c r="B9" s="16"/>
      <c r="C9" s="16"/>
      <c r="D9" s="16"/>
      <c r="E9" s="16"/>
      <c r="F9" s="16"/>
      <c r="G9" s="16"/>
      <c r="H9" s="16"/>
    </row>
    <row r="10" spans="1:8" ht="18" customHeight="1" x14ac:dyDescent="0.3">
      <c r="A10" s="22" t="s">
        <v>367</v>
      </c>
      <c r="B10" s="16"/>
      <c r="C10" s="16"/>
      <c r="D10" s="16"/>
      <c r="E10" s="16"/>
      <c r="F10" s="16"/>
      <c r="G10" s="16"/>
      <c r="H10" s="16"/>
    </row>
    <row r="11" spans="1:8" ht="30" customHeight="1" x14ac:dyDescent="0.3">
      <c r="A11" s="18" t="s">
        <v>368</v>
      </c>
      <c r="B11" s="16"/>
      <c r="C11" s="16"/>
      <c r="D11" s="16"/>
      <c r="E11" s="16"/>
      <c r="F11" s="16"/>
      <c r="G11" s="16"/>
      <c r="H11" s="16"/>
    </row>
    <row r="12" spans="1:8" ht="28.05" customHeight="1" x14ac:dyDescent="0.3">
      <c r="A12" s="18" t="s">
        <v>369</v>
      </c>
      <c r="B12" s="16"/>
      <c r="C12" s="16"/>
      <c r="D12" s="16"/>
      <c r="E12" s="16"/>
      <c r="F12" s="16"/>
      <c r="G12" s="16"/>
      <c r="H12" s="16"/>
    </row>
    <row r="13" spans="1:8" ht="28.05" customHeight="1" x14ac:dyDescent="0.3">
      <c r="A13" s="18" t="s">
        <v>370</v>
      </c>
      <c r="B13" s="16"/>
      <c r="C13" s="16"/>
      <c r="D13" s="16"/>
      <c r="E13" s="16"/>
      <c r="F13" s="16"/>
      <c r="G13" s="16"/>
      <c r="H13" s="16"/>
    </row>
    <row r="14" spans="1:8" ht="18" customHeight="1" x14ac:dyDescent="0.3">
      <c r="A14" s="22" t="s">
        <v>371</v>
      </c>
      <c r="B14" s="16"/>
      <c r="C14" s="16"/>
      <c r="D14" s="16"/>
      <c r="E14" s="16"/>
      <c r="F14" s="16"/>
      <c r="G14" s="16"/>
      <c r="H14" s="16"/>
    </row>
    <row r="15" spans="1:8" ht="30" customHeight="1" x14ac:dyDescent="0.3">
      <c r="A15" s="18" t="s">
        <v>372</v>
      </c>
      <c r="B15" s="16"/>
      <c r="C15" s="16"/>
      <c r="D15" s="16"/>
      <c r="E15" s="16"/>
      <c r="F15" s="16"/>
      <c r="G15" s="16"/>
      <c r="H15" s="16"/>
    </row>
    <row r="16" spans="1:8" ht="15" customHeight="1" x14ac:dyDescent="0.3">
      <c r="A16" s="18" t="s">
        <v>373</v>
      </c>
      <c r="B16" s="16"/>
      <c r="C16" s="16"/>
      <c r="D16" s="16"/>
      <c r="E16" s="16"/>
      <c r="F16" s="16"/>
      <c r="G16" s="16"/>
      <c r="H16" s="16"/>
    </row>
    <row r="18" spans="1:8" ht="24" customHeight="1" x14ac:dyDescent="0.3">
      <c r="A18" s="23" t="s">
        <v>374</v>
      </c>
      <c r="B18" s="16"/>
      <c r="C18" s="16"/>
      <c r="D18" s="16"/>
      <c r="E18" s="16"/>
      <c r="F18" s="16"/>
      <c r="G18" s="16"/>
      <c r="H18" s="16"/>
    </row>
    <row r="20" spans="1:8" ht="22.05" customHeight="1" x14ac:dyDescent="0.3">
      <c r="A20" s="21" t="s">
        <v>346</v>
      </c>
      <c r="B20" s="16"/>
      <c r="C20" s="16"/>
      <c r="D20" s="16"/>
      <c r="E20" s="16"/>
      <c r="F20" s="16"/>
      <c r="G20" s="16"/>
      <c r="H20" s="16"/>
    </row>
    <row r="21" spans="1:8" ht="15" x14ac:dyDescent="0.35">
      <c r="A21" s="13" t="s">
        <v>104</v>
      </c>
      <c r="B21" s="13" t="s">
        <v>47</v>
      </c>
      <c r="C21" s="13" t="s">
        <v>347</v>
      </c>
      <c r="D21" s="13" t="s">
        <v>348</v>
      </c>
    </row>
    <row r="22" spans="1:8" x14ac:dyDescent="0.3">
      <c r="A22" s="11">
        <v>20</v>
      </c>
      <c r="B22" s="14">
        <v>2.2000000000000002</v>
      </c>
      <c r="C22" s="6"/>
      <c r="D22" s="9"/>
    </row>
    <row r="23" spans="1:8" x14ac:dyDescent="0.3">
      <c r="A23" s="11">
        <v>33</v>
      </c>
      <c r="B23" s="14">
        <v>65.180000000000007</v>
      </c>
      <c r="C23" s="6"/>
      <c r="D23" s="9"/>
    </row>
    <row r="24" spans="1:8" x14ac:dyDescent="0.3">
      <c r="A24" s="11">
        <v>10</v>
      </c>
      <c r="B24" s="14">
        <v>6.64</v>
      </c>
      <c r="C24" s="6"/>
      <c r="D24" s="9"/>
    </row>
    <row r="25" spans="1:8" x14ac:dyDescent="0.3">
      <c r="A25" s="11">
        <v>250</v>
      </c>
      <c r="B25" s="14">
        <v>48.9</v>
      </c>
      <c r="C25" s="6"/>
      <c r="D25" s="9"/>
    </row>
    <row r="26" spans="1:8" x14ac:dyDescent="0.3">
      <c r="A26" s="11">
        <v>5</v>
      </c>
      <c r="B26" s="14">
        <v>1200</v>
      </c>
      <c r="C26" s="6"/>
      <c r="D26" s="9"/>
    </row>
    <row r="28" spans="1:8" ht="16.05" customHeight="1" x14ac:dyDescent="0.3">
      <c r="A28" s="25" t="s">
        <v>322</v>
      </c>
      <c r="B28" s="16"/>
      <c r="C28" s="16"/>
      <c r="D28" s="16"/>
      <c r="E28" s="16"/>
      <c r="F28" s="16"/>
      <c r="G28" s="16"/>
      <c r="H28" s="16"/>
    </row>
    <row r="29" spans="1:8" ht="15" customHeight="1" x14ac:dyDescent="0.3">
      <c r="A29" s="24" t="s">
        <v>375</v>
      </c>
      <c r="B29" s="16"/>
      <c r="C29" s="16"/>
      <c r="D29" s="16"/>
      <c r="E29" s="16"/>
      <c r="F29" s="16"/>
      <c r="G29" s="16"/>
      <c r="H29" s="16"/>
    </row>
    <row r="30" spans="1:8" ht="15" customHeight="1" x14ac:dyDescent="0.3">
      <c r="A30" s="24" t="s">
        <v>376</v>
      </c>
      <c r="B30" s="16"/>
      <c r="C30" s="16"/>
      <c r="D30" s="16"/>
      <c r="E30" s="16"/>
      <c r="F30" s="16"/>
      <c r="G30" s="16"/>
      <c r="H30" s="16"/>
    </row>
    <row r="31" spans="1:8" ht="15" customHeight="1" x14ac:dyDescent="0.3">
      <c r="A31" s="24" t="s">
        <v>353</v>
      </c>
      <c r="B31" s="16"/>
      <c r="C31" s="16"/>
      <c r="D31" s="16"/>
      <c r="E31" s="16"/>
      <c r="F31" s="16"/>
      <c r="G31" s="16"/>
      <c r="H31" s="16"/>
    </row>
    <row r="32" spans="1:8" ht="15" customHeight="1" x14ac:dyDescent="0.3">
      <c r="A32" s="24" t="s">
        <v>377</v>
      </c>
      <c r="B32" s="16"/>
      <c r="C32" s="16"/>
      <c r="D32" s="16"/>
      <c r="E32" s="16"/>
      <c r="F32" s="16"/>
      <c r="G32" s="16"/>
      <c r="H32" s="16"/>
    </row>
    <row r="33" spans="1:8" ht="15" customHeight="1" x14ac:dyDescent="0.3">
      <c r="A33" s="24" t="s">
        <v>378</v>
      </c>
      <c r="B33" s="16"/>
      <c r="C33" s="16"/>
      <c r="D33" s="16"/>
      <c r="E33" s="16"/>
      <c r="F33" s="16"/>
      <c r="G33" s="16"/>
      <c r="H33" s="16"/>
    </row>
    <row r="34" spans="1:8" ht="15" customHeight="1" x14ac:dyDescent="0.3">
      <c r="A34" s="24" t="s">
        <v>379</v>
      </c>
      <c r="B34" s="16"/>
      <c r="C34" s="16"/>
      <c r="D34" s="16"/>
      <c r="E34" s="16"/>
      <c r="F34" s="16"/>
      <c r="G34" s="16"/>
      <c r="H34" s="16"/>
    </row>
    <row r="35" spans="1:8" ht="15" customHeight="1" x14ac:dyDescent="0.3">
      <c r="A35" s="24" t="s">
        <v>380</v>
      </c>
      <c r="B35" s="16"/>
      <c r="C35" s="16"/>
      <c r="D35" s="16"/>
      <c r="E35" s="16"/>
      <c r="F35" s="16"/>
      <c r="G35" s="16"/>
      <c r="H35" s="16"/>
    </row>
    <row r="36" spans="1:8" ht="15" customHeight="1" x14ac:dyDescent="0.3">
      <c r="A36" s="24" t="s">
        <v>381</v>
      </c>
      <c r="B36" s="16"/>
      <c r="C36" s="16"/>
      <c r="D36" s="16"/>
      <c r="E36" s="16"/>
      <c r="F36" s="16"/>
      <c r="G36" s="16"/>
      <c r="H36" s="16"/>
    </row>
    <row r="37" spans="1:8" ht="15" customHeight="1" x14ac:dyDescent="0.3">
      <c r="A37" s="24" t="s">
        <v>382</v>
      </c>
      <c r="B37" s="16"/>
      <c r="C37" s="16"/>
      <c r="D37" s="16"/>
      <c r="E37" s="16"/>
      <c r="F37" s="16"/>
      <c r="G37" s="16"/>
      <c r="H37" s="16"/>
    </row>
    <row r="38" spans="1:8" ht="15" customHeight="1" x14ac:dyDescent="0.3">
      <c r="A38" s="24" t="s">
        <v>383</v>
      </c>
      <c r="B38" s="16"/>
      <c r="C38" s="16"/>
      <c r="D38" s="16"/>
      <c r="E38" s="16"/>
      <c r="F38" s="16"/>
      <c r="G38" s="16"/>
      <c r="H38" s="16"/>
    </row>
    <row r="39" spans="1:8" ht="15" customHeight="1" x14ac:dyDescent="0.3">
      <c r="A39" s="24" t="s">
        <v>384</v>
      </c>
      <c r="B39" s="16"/>
      <c r="C39" s="16"/>
      <c r="D39" s="16"/>
      <c r="E39" s="16"/>
      <c r="F39" s="16"/>
      <c r="G39" s="16"/>
      <c r="H39" s="16"/>
    </row>
    <row r="40" spans="1:8" ht="15" customHeight="1" x14ac:dyDescent="0.3">
      <c r="A40" s="24" t="s">
        <v>385</v>
      </c>
      <c r="B40" s="16"/>
      <c r="C40" s="16"/>
      <c r="D40" s="16"/>
      <c r="E40" s="16"/>
      <c r="F40" s="16"/>
      <c r="G40" s="16"/>
      <c r="H40" s="16"/>
    </row>
    <row r="41" spans="1:8" ht="15" customHeight="1" x14ac:dyDescent="0.3">
      <c r="A41" s="24" t="s">
        <v>386</v>
      </c>
      <c r="B41" s="16"/>
      <c r="C41" s="16"/>
      <c r="D41" s="16"/>
      <c r="E41" s="16"/>
      <c r="F41" s="16"/>
      <c r="G41" s="16"/>
      <c r="H41" s="16"/>
    </row>
    <row r="42" spans="1:8" ht="15" customHeight="1" x14ac:dyDescent="0.3">
      <c r="A42" s="24" t="s">
        <v>387</v>
      </c>
      <c r="B42" s="16"/>
      <c r="C42" s="16"/>
      <c r="D42" s="16"/>
      <c r="E42" s="16"/>
      <c r="F42" s="16"/>
      <c r="G42" s="16"/>
      <c r="H42" s="16"/>
    </row>
    <row r="43" spans="1:8" ht="15" customHeight="1" x14ac:dyDescent="0.3">
      <c r="A43" s="24" t="s">
        <v>388</v>
      </c>
      <c r="B43" s="16"/>
      <c r="C43" s="16"/>
      <c r="D43" s="16"/>
      <c r="E43" s="16"/>
      <c r="F43" s="16"/>
      <c r="G43" s="16"/>
      <c r="H43" s="16"/>
    </row>
    <row r="44" spans="1:8" ht="15" customHeight="1" x14ac:dyDescent="0.3">
      <c r="A44" s="24" t="s">
        <v>330</v>
      </c>
      <c r="B44" s="16"/>
      <c r="C44" s="16"/>
      <c r="D44" s="16"/>
      <c r="E44" s="16"/>
      <c r="F44" s="16"/>
      <c r="G44" s="16"/>
      <c r="H44" s="16"/>
    </row>
    <row r="46" spans="1:8" ht="24" customHeight="1" x14ac:dyDescent="0.3">
      <c r="A46" s="20" t="s">
        <v>331</v>
      </c>
      <c r="B46" s="16"/>
      <c r="C46" s="16"/>
      <c r="D46" s="16"/>
      <c r="E46" s="16"/>
      <c r="F46" s="16"/>
      <c r="G46" s="16"/>
      <c r="H46" s="16"/>
    </row>
  </sheetData>
  <mergeCells count="35">
    <mergeCell ref="A43:H43"/>
    <mergeCell ref="A10:H10"/>
    <mergeCell ref="A28:H28"/>
    <mergeCell ref="A13:H13"/>
    <mergeCell ref="A44:H44"/>
    <mergeCell ref="A31:H31"/>
    <mergeCell ref="A34:H34"/>
    <mergeCell ref="A46:H46"/>
    <mergeCell ref="A12:H12"/>
    <mergeCell ref="A18:H18"/>
    <mergeCell ref="A2:H2"/>
    <mergeCell ref="A42:H42"/>
    <mergeCell ref="A33:H33"/>
    <mergeCell ref="A14:H14"/>
    <mergeCell ref="A5:H5"/>
    <mergeCell ref="A32:H32"/>
    <mergeCell ref="A8:H8"/>
    <mergeCell ref="A40:H40"/>
    <mergeCell ref="A4:H4"/>
    <mergeCell ref="A29:H29"/>
    <mergeCell ref="A35:H35"/>
    <mergeCell ref="A20:H20"/>
    <mergeCell ref="A38:H38"/>
    <mergeCell ref="A1:H1"/>
    <mergeCell ref="A6:H6"/>
    <mergeCell ref="A7:H7"/>
    <mergeCell ref="A16:H16"/>
    <mergeCell ref="A41:H41"/>
    <mergeCell ref="A37:H37"/>
    <mergeCell ref="A9:H9"/>
    <mergeCell ref="A30:H30"/>
    <mergeCell ref="A39:H39"/>
    <mergeCell ref="A15:H15"/>
    <mergeCell ref="A36:H36"/>
    <mergeCell ref="A11:H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7"/>
  <sheetViews>
    <sheetView workbookViewId="0"/>
  </sheetViews>
  <sheetFormatPr defaultRowHeight="14.4" x14ac:dyDescent="0.3"/>
  <cols>
    <col min="1" max="1" width="22" customWidth="1"/>
    <col min="2" max="3" width="16" customWidth="1"/>
    <col min="4" max="4" width="22" customWidth="1"/>
    <col min="5" max="8" width="14" customWidth="1"/>
  </cols>
  <sheetData>
    <row r="1" spans="1:8" ht="30" customHeight="1" x14ac:dyDescent="0.3">
      <c r="A1" s="17" t="s">
        <v>389</v>
      </c>
      <c r="B1" s="16"/>
      <c r="C1" s="16"/>
      <c r="D1" s="16"/>
      <c r="E1" s="16"/>
      <c r="F1" s="16"/>
      <c r="G1" s="16"/>
      <c r="H1" s="16"/>
    </row>
    <row r="2" spans="1:8" ht="19.95" customHeight="1" x14ac:dyDescent="0.3">
      <c r="A2" s="15" t="s">
        <v>390</v>
      </c>
      <c r="B2" s="16"/>
      <c r="C2" s="16"/>
      <c r="D2" s="16"/>
      <c r="E2" s="16"/>
      <c r="F2" s="16"/>
      <c r="G2" s="16"/>
      <c r="H2" s="16"/>
    </row>
    <row r="4" spans="1:8" ht="22.05" customHeight="1" x14ac:dyDescent="0.3">
      <c r="A4" s="21" t="s">
        <v>191</v>
      </c>
      <c r="B4" s="16"/>
      <c r="C4" s="16"/>
      <c r="D4" s="16"/>
      <c r="E4" s="16"/>
      <c r="F4" s="16"/>
      <c r="G4" s="16"/>
      <c r="H4" s="16"/>
    </row>
    <row r="5" spans="1:8" ht="18" customHeight="1" x14ac:dyDescent="0.3">
      <c r="A5" s="22" t="s">
        <v>391</v>
      </c>
      <c r="B5" s="16"/>
      <c r="C5" s="16"/>
      <c r="D5" s="16"/>
      <c r="E5" s="16"/>
      <c r="F5" s="16"/>
      <c r="G5" s="16"/>
      <c r="H5" s="16"/>
    </row>
    <row r="6" spans="1:8" ht="30" customHeight="1" x14ac:dyDescent="0.3">
      <c r="A6" s="18" t="s">
        <v>392</v>
      </c>
      <c r="B6" s="16"/>
      <c r="C6" s="16"/>
      <c r="D6" s="16"/>
      <c r="E6" s="16"/>
      <c r="F6" s="16"/>
      <c r="G6" s="16"/>
      <c r="H6" s="16"/>
    </row>
    <row r="7" spans="1:8" ht="15" customHeight="1" x14ac:dyDescent="0.3">
      <c r="A7" s="18" t="s">
        <v>393</v>
      </c>
      <c r="B7" s="16"/>
      <c r="C7" s="16"/>
      <c r="D7" s="16"/>
      <c r="E7" s="16"/>
      <c r="F7" s="16"/>
      <c r="G7" s="16"/>
      <c r="H7" s="16"/>
    </row>
    <row r="8" spans="1:8" ht="15" customHeight="1" x14ac:dyDescent="0.3">
      <c r="A8" s="18" t="s">
        <v>394</v>
      </c>
      <c r="B8" s="16"/>
      <c r="C8" s="16"/>
      <c r="D8" s="16"/>
      <c r="E8" s="16"/>
      <c r="F8" s="16"/>
      <c r="G8" s="16"/>
      <c r="H8" s="16"/>
    </row>
    <row r="9" spans="1:8" ht="18" customHeight="1" x14ac:dyDescent="0.3">
      <c r="A9" s="22" t="s">
        <v>395</v>
      </c>
      <c r="B9" s="16"/>
      <c r="C9" s="16"/>
      <c r="D9" s="16"/>
      <c r="E9" s="16"/>
      <c r="F9" s="16"/>
      <c r="G9" s="16"/>
      <c r="H9" s="16"/>
    </row>
    <row r="10" spans="1:8" ht="30" customHeight="1" x14ac:dyDescent="0.3">
      <c r="A10" s="18" t="s">
        <v>396</v>
      </c>
      <c r="B10" s="16"/>
      <c r="C10" s="16"/>
      <c r="D10" s="16"/>
      <c r="E10" s="16"/>
      <c r="F10" s="16"/>
      <c r="G10" s="16"/>
      <c r="H10" s="16"/>
    </row>
    <row r="11" spans="1:8" ht="28.05" customHeight="1" x14ac:dyDescent="0.3">
      <c r="A11" s="18" t="s">
        <v>397</v>
      </c>
      <c r="B11" s="16"/>
      <c r="C11" s="16"/>
      <c r="D11" s="16"/>
      <c r="E11" s="16"/>
      <c r="F11" s="16"/>
      <c r="G11" s="16"/>
      <c r="H11" s="16"/>
    </row>
    <row r="12" spans="1:8" ht="15" customHeight="1" x14ac:dyDescent="0.3">
      <c r="A12" s="18" t="s">
        <v>398</v>
      </c>
      <c r="B12" s="16"/>
      <c r="C12" s="16"/>
      <c r="D12" s="16"/>
      <c r="E12" s="16"/>
      <c r="F12" s="16"/>
      <c r="G12" s="16"/>
      <c r="H12" s="16"/>
    </row>
    <row r="14" spans="1:8" ht="24" customHeight="1" x14ac:dyDescent="0.3">
      <c r="A14" s="23" t="s">
        <v>399</v>
      </c>
      <c r="B14" s="16"/>
      <c r="C14" s="16"/>
      <c r="D14" s="16"/>
      <c r="E14" s="16"/>
      <c r="F14" s="16"/>
      <c r="G14" s="16"/>
      <c r="H14" s="16"/>
    </row>
    <row r="16" spans="1:8" ht="22.05" customHeight="1" x14ac:dyDescent="0.3">
      <c r="A16" s="21" t="s">
        <v>346</v>
      </c>
      <c r="B16" s="16"/>
      <c r="C16" s="16"/>
      <c r="D16" s="16"/>
      <c r="E16" s="16"/>
      <c r="F16" s="16"/>
      <c r="G16" s="16"/>
      <c r="H16" s="16"/>
    </row>
    <row r="17" spans="1:8" ht="15" x14ac:dyDescent="0.35">
      <c r="A17" s="13" t="s">
        <v>104</v>
      </c>
      <c r="B17" s="13" t="s">
        <v>47</v>
      </c>
      <c r="C17" s="13" t="s">
        <v>347</v>
      </c>
      <c r="D17" s="13" t="s">
        <v>348</v>
      </c>
    </row>
    <row r="18" spans="1:8" x14ac:dyDescent="0.3">
      <c r="A18" s="11">
        <v>20</v>
      </c>
      <c r="B18" s="14">
        <v>2.2000000000000002</v>
      </c>
      <c r="C18" s="6"/>
      <c r="D18" s="9"/>
    </row>
    <row r="19" spans="1:8" x14ac:dyDescent="0.3">
      <c r="A19" s="11">
        <v>33</v>
      </c>
      <c r="B19" s="14">
        <v>65.180000000000007</v>
      </c>
      <c r="C19" s="6"/>
      <c r="D19" s="9"/>
    </row>
    <row r="20" spans="1:8" x14ac:dyDescent="0.3">
      <c r="A20" s="11">
        <v>10</v>
      </c>
      <c r="B20" s="14">
        <v>6.64</v>
      </c>
      <c r="C20" s="6"/>
      <c r="D20" s="9"/>
    </row>
    <row r="21" spans="1:8" x14ac:dyDescent="0.3">
      <c r="A21" s="11">
        <v>250</v>
      </c>
      <c r="B21" s="14">
        <v>48.9</v>
      </c>
      <c r="C21" s="6"/>
      <c r="D21" s="9"/>
    </row>
    <row r="22" spans="1:8" x14ac:dyDescent="0.3">
      <c r="A22" s="11">
        <v>5</v>
      </c>
      <c r="B22" s="14">
        <v>1200</v>
      </c>
      <c r="C22" s="6"/>
      <c r="D22" s="9"/>
    </row>
    <row r="24" spans="1:8" ht="16.05" customHeight="1" x14ac:dyDescent="0.3">
      <c r="A24" s="25" t="s">
        <v>322</v>
      </c>
      <c r="B24" s="16"/>
      <c r="C24" s="16"/>
      <c r="D24" s="16"/>
      <c r="E24" s="16"/>
      <c r="F24" s="16"/>
      <c r="G24" s="16"/>
      <c r="H24" s="16"/>
    </row>
    <row r="25" spans="1:8" ht="15" customHeight="1" x14ac:dyDescent="0.3">
      <c r="A25" s="24" t="s">
        <v>400</v>
      </c>
      <c r="B25" s="16"/>
      <c r="C25" s="16"/>
      <c r="D25" s="16"/>
      <c r="E25" s="16"/>
      <c r="F25" s="16"/>
      <c r="G25" s="16"/>
      <c r="H25" s="16"/>
    </row>
    <row r="26" spans="1:8" ht="15" customHeight="1" x14ac:dyDescent="0.3">
      <c r="A26" s="24" t="s">
        <v>401</v>
      </c>
      <c r="B26" s="16"/>
      <c r="C26" s="16"/>
      <c r="D26" s="16"/>
      <c r="E26" s="16"/>
      <c r="F26" s="16"/>
      <c r="G26" s="16"/>
      <c r="H26" s="16"/>
    </row>
    <row r="27" spans="1:8" ht="15" customHeight="1" x14ac:dyDescent="0.3">
      <c r="A27" s="24" t="s">
        <v>402</v>
      </c>
      <c r="B27" s="16"/>
      <c r="C27" s="16"/>
      <c r="D27" s="16"/>
      <c r="E27" s="16"/>
      <c r="F27" s="16"/>
      <c r="G27" s="16"/>
      <c r="H27" s="16"/>
    </row>
    <row r="28" spans="1:8" ht="15" customHeight="1" x14ac:dyDescent="0.3">
      <c r="A28" s="24" t="s">
        <v>178</v>
      </c>
      <c r="B28" s="16"/>
      <c r="C28" s="16"/>
      <c r="D28" s="16"/>
      <c r="E28" s="16"/>
      <c r="F28" s="16"/>
      <c r="G28" s="16"/>
      <c r="H28" s="16"/>
    </row>
    <row r="29" spans="1:8" ht="15" customHeight="1" x14ac:dyDescent="0.3">
      <c r="A29" s="24" t="s">
        <v>403</v>
      </c>
      <c r="B29" s="16"/>
      <c r="C29" s="16"/>
      <c r="D29" s="16"/>
      <c r="E29" s="16"/>
      <c r="F29" s="16"/>
      <c r="G29" s="16"/>
      <c r="H29" s="16"/>
    </row>
    <row r="30" spans="1:8" ht="15" customHeight="1" x14ac:dyDescent="0.3">
      <c r="A30" s="24" t="s">
        <v>404</v>
      </c>
      <c r="B30" s="16"/>
      <c r="C30" s="16"/>
      <c r="D30" s="16"/>
      <c r="E30" s="16"/>
      <c r="F30" s="16"/>
      <c r="G30" s="16"/>
      <c r="H30" s="16"/>
    </row>
    <row r="31" spans="1:8" ht="15" customHeight="1" x14ac:dyDescent="0.3">
      <c r="A31" s="24" t="s">
        <v>405</v>
      </c>
      <c r="B31" s="16"/>
      <c r="C31" s="16"/>
      <c r="D31" s="16"/>
      <c r="E31" s="16"/>
      <c r="F31" s="16"/>
      <c r="G31" s="16"/>
      <c r="H31" s="16"/>
    </row>
    <row r="32" spans="1:8" ht="15" customHeight="1" x14ac:dyDescent="0.3">
      <c r="A32" s="24" t="s">
        <v>406</v>
      </c>
      <c r="B32" s="16"/>
      <c r="C32" s="16"/>
      <c r="D32" s="16"/>
      <c r="E32" s="16"/>
      <c r="F32" s="16"/>
      <c r="G32" s="16"/>
      <c r="H32" s="16"/>
    </row>
    <row r="33" spans="1:8" ht="15" customHeight="1" x14ac:dyDescent="0.3">
      <c r="A33" s="24" t="s">
        <v>407</v>
      </c>
      <c r="B33" s="16"/>
      <c r="C33" s="16"/>
      <c r="D33" s="16"/>
      <c r="E33" s="16"/>
      <c r="F33" s="16"/>
      <c r="G33" s="16"/>
      <c r="H33" s="16"/>
    </row>
    <row r="34" spans="1:8" ht="15" customHeight="1" x14ac:dyDescent="0.3">
      <c r="A34" s="24" t="s">
        <v>408</v>
      </c>
      <c r="B34" s="16"/>
      <c r="C34" s="16"/>
      <c r="D34" s="16"/>
      <c r="E34" s="16"/>
      <c r="F34" s="16"/>
      <c r="G34" s="16"/>
      <c r="H34" s="16"/>
    </row>
    <row r="35" spans="1:8" ht="15" customHeight="1" x14ac:dyDescent="0.3">
      <c r="A35" s="24" t="s">
        <v>409</v>
      </c>
      <c r="B35" s="16"/>
      <c r="C35" s="16"/>
      <c r="D35" s="16"/>
      <c r="E35" s="16"/>
      <c r="F35" s="16"/>
      <c r="G35" s="16"/>
      <c r="H35" s="16"/>
    </row>
    <row r="36" spans="1:8" ht="15" customHeight="1" x14ac:dyDescent="0.3">
      <c r="A36" s="24" t="s">
        <v>410</v>
      </c>
      <c r="B36" s="16"/>
      <c r="C36" s="16"/>
      <c r="D36" s="16"/>
      <c r="E36" s="16"/>
      <c r="F36" s="16"/>
      <c r="G36" s="16"/>
      <c r="H36" s="16"/>
    </row>
    <row r="37" spans="1:8" ht="15" customHeight="1" x14ac:dyDescent="0.3">
      <c r="A37" s="24" t="s">
        <v>402</v>
      </c>
      <c r="B37" s="16"/>
      <c r="C37" s="16"/>
      <c r="D37" s="16"/>
      <c r="E37" s="16"/>
      <c r="F37" s="16"/>
      <c r="G37" s="16"/>
      <c r="H37" s="16"/>
    </row>
    <row r="38" spans="1:8" ht="15" customHeight="1" x14ac:dyDescent="0.3">
      <c r="A38" s="24" t="s">
        <v>178</v>
      </c>
      <c r="B38" s="16"/>
      <c r="C38" s="16"/>
      <c r="D38" s="16"/>
      <c r="E38" s="16"/>
      <c r="F38" s="16"/>
      <c r="G38" s="16"/>
      <c r="H38" s="16"/>
    </row>
    <row r="39" spans="1:8" ht="15" customHeight="1" x14ac:dyDescent="0.3">
      <c r="A39" s="24" t="s">
        <v>411</v>
      </c>
      <c r="B39" s="16"/>
      <c r="C39" s="16"/>
      <c r="D39" s="16"/>
      <c r="E39" s="16"/>
      <c r="F39" s="16"/>
      <c r="G39" s="16"/>
      <c r="H39" s="16"/>
    </row>
    <row r="40" spans="1:8" ht="15" customHeight="1" x14ac:dyDescent="0.3">
      <c r="A40" s="24" t="s">
        <v>412</v>
      </c>
      <c r="B40" s="16"/>
      <c r="C40" s="16"/>
      <c r="D40" s="16"/>
      <c r="E40" s="16"/>
      <c r="F40" s="16"/>
      <c r="G40" s="16"/>
      <c r="H40" s="16"/>
    </row>
    <row r="41" spans="1:8" ht="15" customHeight="1" x14ac:dyDescent="0.3">
      <c r="A41" s="24" t="s">
        <v>325</v>
      </c>
      <c r="B41" s="16"/>
      <c r="C41" s="16"/>
      <c r="D41" s="16"/>
      <c r="E41" s="16"/>
      <c r="F41" s="16"/>
      <c r="G41" s="16"/>
      <c r="H41" s="16"/>
    </row>
    <row r="42" spans="1:8" ht="15" customHeight="1" x14ac:dyDescent="0.3">
      <c r="A42" s="24" t="s">
        <v>326</v>
      </c>
      <c r="B42" s="16"/>
      <c r="C42" s="16"/>
      <c r="D42" s="16"/>
      <c r="E42" s="16"/>
      <c r="F42" s="16"/>
      <c r="G42" s="16"/>
      <c r="H42" s="16"/>
    </row>
    <row r="43" spans="1:8" ht="15" customHeight="1" x14ac:dyDescent="0.3">
      <c r="A43" s="24" t="s">
        <v>327</v>
      </c>
      <c r="B43" s="16"/>
      <c r="C43" s="16"/>
      <c r="D43" s="16"/>
      <c r="E43" s="16"/>
      <c r="F43" s="16"/>
      <c r="G43" s="16"/>
      <c r="H43" s="16"/>
    </row>
    <row r="44" spans="1:8" ht="15" customHeight="1" x14ac:dyDescent="0.3">
      <c r="A44" s="24" t="s">
        <v>328</v>
      </c>
      <c r="B44" s="16"/>
      <c r="C44" s="16"/>
      <c r="D44" s="16"/>
      <c r="E44" s="16"/>
      <c r="F44" s="16"/>
      <c r="G44" s="16"/>
      <c r="H44" s="16"/>
    </row>
    <row r="45" spans="1:8" ht="15" customHeight="1" x14ac:dyDescent="0.3">
      <c r="A45" s="24" t="s">
        <v>330</v>
      </c>
      <c r="B45" s="16"/>
      <c r="C45" s="16"/>
      <c r="D45" s="16"/>
      <c r="E45" s="16"/>
      <c r="F45" s="16"/>
      <c r="G45" s="16"/>
      <c r="H45" s="16"/>
    </row>
    <row r="47" spans="1:8" ht="24" customHeight="1" x14ac:dyDescent="0.3">
      <c r="A47" s="20" t="s">
        <v>331</v>
      </c>
      <c r="B47" s="16"/>
      <c r="C47" s="16"/>
      <c r="D47" s="16"/>
      <c r="E47" s="16"/>
      <c r="F47" s="16"/>
      <c r="G47" s="16"/>
      <c r="H47" s="16"/>
    </row>
  </sheetData>
  <mergeCells count="36">
    <mergeCell ref="A47:H47"/>
    <mergeCell ref="A5:H5"/>
    <mergeCell ref="A32:H32"/>
    <mergeCell ref="A8:H8"/>
    <mergeCell ref="A40:H40"/>
    <mergeCell ref="A29:H29"/>
    <mergeCell ref="A35:H35"/>
    <mergeCell ref="A43:H43"/>
    <mergeCell ref="A38:H38"/>
    <mergeCell ref="A10:H10"/>
    <mergeCell ref="A28:H28"/>
    <mergeCell ref="A44:H44"/>
    <mergeCell ref="A31:H31"/>
    <mergeCell ref="A34:H34"/>
    <mergeCell ref="A1:H1"/>
    <mergeCell ref="A45:H45"/>
    <mergeCell ref="A6:H6"/>
    <mergeCell ref="A7:H7"/>
    <mergeCell ref="A25:H25"/>
    <mergeCell ref="A16:H16"/>
    <mergeCell ref="A41:H41"/>
    <mergeCell ref="A37:H37"/>
    <mergeCell ref="A27:H27"/>
    <mergeCell ref="A12:H12"/>
    <mergeCell ref="A26:H26"/>
    <mergeCell ref="A2:H2"/>
    <mergeCell ref="A42:H42"/>
    <mergeCell ref="A33:H33"/>
    <mergeCell ref="A14:H14"/>
    <mergeCell ref="A4:H4"/>
    <mergeCell ref="A9:H9"/>
    <mergeCell ref="A30:H30"/>
    <mergeCell ref="A39:H39"/>
    <mergeCell ref="A24:H24"/>
    <mergeCell ref="A36:H36"/>
    <mergeCell ref="A11:H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9"/>
  <sheetViews>
    <sheetView workbookViewId="0"/>
  </sheetViews>
  <sheetFormatPr defaultRowHeight="14.4" x14ac:dyDescent="0.3"/>
  <cols>
    <col min="1" max="1" width="22" customWidth="1"/>
    <col min="2" max="3" width="16" customWidth="1"/>
    <col min="4" max="4" width="22" customWidth="1"/>
    <col min="5" max="8" width="14" customWidth="1"/>
  </cols>
  <sheetData>
    <row r="1" spans="1:8" ht="30" customHeight="1" x14ac:dyDescent="0.3">
      <c r="A1" s="17" t="s">
        <v>413</v>
      </c>
      <c r="B1" s="16"/>
      <c r="C1" s="16"/>
      <c r="D1" s="16"/>
      <c r="E1" s="16"/>
      <c r="F1" s="16"/>
      <c r="G1" s="16"/>
      <c r="H1" s="16"/>
    </row>
    <row r="2" spans="1:8" ht="19.95" customHeight="1" x14ac:dyDescent="0.3">
      <c r="A2" s="15" t="s">
        <v>414</v>
      </c>
      <c r="B2" s="16"/>
      <c r="C2" s="16"/>
      <c r="D2" s="16"/>
      <c r="E2" s="16"/>
      <c r="F2" s="16"/>
      <c r="G2" s="16"/>
      <c r="H2" s="16"/>
    </row>
    <row r="4" spans="1:8" ht="22.05" customHeight="1" x14ac:dyDescent="0.3">
      <c r="A4" s="21" t="s">
        <v>191</v>
      </c>
      <c r="B4" s="16"/>
      <c r="C4" s="16"/>
      <c r="D4" s="16"/>
      <c r="E4" s="16"/>
      <c r="F4" s="16"/>
      <c r="G4" s="16"/>
      <c r="H4" s="16"/>
    </row>
    <row r="5" spans="1:8" ht="18" customHeight="1" x14ac:dyDescent="0.3">
      <c r="A5" s="22" t="s">
        <v>415</v>
      </c>
      <c r="B5" s="16"/>
      <c r="C5" s="16"/>
      <c r="D5" s="16"/>
      <c r="E5" s="16"/>
      <c r="F5" s="16"/>
      <c r="G5" s="16"/>
      <c r="H5" s="16"/>
    </row>
    <row r="6" spans="1:8" ht="30" customHeight="1" x14ac:dyDescent="0.3">
      <c r="A6" s="18" t="s">
        <v>416</v>
      </c>
      <c r="B6" s="16"/>
      <c r="C6" s="16"/>
      <c r="D6" s="16"/>
      <c r="E6" s="16"/>
      <c r="F6" s="16"/>
      <c r="G6" s="16"/>
      <c r="H6" s="16"/>
    </row>
    <row r="7" spans="1:8" ht="28.05" customHeight="1" x14ac:dyDescent="0.3">
      <c r="A7" s="18" t="s">
        <v>417</v>
      </c>
      <c r="B7" s="16"/>
      <c r="C7" s="16"/>
      <c r="D7" s="16"/>
      <c r="E7" s="16"/>
      <c r="F7" s="16"/>
      <c r="G7" s="16"/>
      <c r="H7" s="16"/>
    </row>
    <row r="8" spans="1:8" ht="28.05" customHeight="1" x14ac:dyDescent="0.3">
      <c r="A8" s="18" t="s">
        <v>418</v>
      </c>
      <c r="B8" s="16"/>
      <c r="C8" s="16"/>
      <c r="D8" s="16"/>
      <c r="E8" s="16"/>
      <c r="F8" s="16"/>
      <c r="G8" s="16"/>
      <c r="H8" s="16"/>
    </row>
    <row r="9" spans="1:8" ht="18" customHeight="1" x14ac:dyDescent="0.3">
      <c r="A9" s="22" t="s">
        <v>419</v>
      </c>
      <c r="B9" s="16"/>
      <c r="C9" s="16"/>
      <c r="D9" s="16"/>
      <c r="E9" s="16"/>
      <c r="F9" s="16"/>
      <c r="G9" s="16"/>
      <c r="H9" s="16"/>
    </row>
    <row r="10" spans="1:8" ht="30" customHeight="1" x14ac:dyDescent="0.3">
      <c r="A10" s="18" t="s">
        <v>420</v>
      </c>
      <c r="B10" s="16"/>
      <c r="C10" s="16"/>
      <c r="D10" s="16"/>
      <c r="E10" s="16"/>
      <c r="F10" s="16"/>
      <c r="G10" s="16"/>
      <c r="H10" s="16"/>
    </row>
    <row r="11" spans="1:8" ht="28.05" customHeight="1" x14ac:dyDescent="0.3">
      <c r="A11" s="18" t="s">
        <v>421</v>
      </c>
      <c r="B11" s="16"/>
      <c r="C11" s="16"/>
      <c r="D11" s="16"/>
      <c r="E11" s="16"/>
      <c r="F11" s="16"/>
      <c r="G11" s="16"/>
      <c r="H11" s="16"/>
    </row>
    <row r="12" spans="1:8" ht="18" customHeight="1" x14ac:dyDescent="0.3">
      <c r="A12" s="22" t="s">
        <v>422</v>
      </c>
      <c r="B12" s="16"/>
      <c r="C12" s="16"/>
      <c r="D12" s="16"/>
      <c r="E12" s="16"/>
      <c r="F12" s="16"/>
      <c r="G12" s="16"/>
      <c r="H12" s="16"/>
    </row>
    <row r="13" spans="1:8" ht="30" customHeight="1" x14ac:dyDescent="0.3">
      <c r="A13" s="18" t="s">
        <v>423</v>
      </c>
      <c r="B13" s="16"/>
      <c r="C13" s="16"/>
      <c r="D13" s="16"/>
      <c r="E13" s="16"/>
      <c r="F13" s="16"/>
      <c r="G13" s="16"/>
      <c r="H13" s="16"/>
    </row>
    <row r="14" spans="1:8" ht="28.05" customHeight="1" x14ac:dyDescent="0.3">
      <c r="A14" s="18" t="s">
        <v>424</v>
      </c>
      <c r="B14" s="16"/>
      <c r="C14" s="16"/>
      <c r="D14" s="16"/>
      <c r="E14" s="16"/>
      <c r="F14" s="16"/>
      <c r="G14" s="16"/>
      <c r="H14" s="16"/>
    </row>
    <row r="16" spans="1:8" ht="24" customHeight="1" x14ac:dyDescent="0.3">
      <c r="A16" s="23" t="s">
        <v>425</v>
      </c>
      <c r="B16" s="16"/>
      <c r="C16" s="16"/>
      <c r="D16" s="16"/>
      <c r="E16" s="16"/>
      <c r="F16" s="16"/>
      <c r="G16" s="16"/>
      <c r="H16" s="16"/>
    </row>
    <row r="18" spans="1:8" ht="22.05" customHeight="1" x14ac:dyDescent="0.3">
      <c r="A18" s="21" t="s">
        <v>346</v>
      </c>
      <c r="B18" s="16"/>
      <c r="C18" s="16"/>
      <c r="D18" s="16"/>
      <c r="E18" s="16"/>
      <c r="F18" s="16"/>
      <c r="G18" s="16"/>
      <c r="H18" s="16"/>
    </row>
    <row r="19" spans="1:8" ht="15" x14ac:dyDescent="0.35">
      <c r="A19" s="13" t="s">
        <v>104</v>
      </c>
      <c r="B19" s="13" t="s">
        <v>47</v>
      </c>
      <c r="C19" s="13" t="s">
        <v>347</v>
      </c>
      <c r="D19" s="13" t="s">
        <v>348</v>
      </c>
    </row>
    <row r="20" spans="1:8" x14ac:dyDescent="0.3">
      <c r="A20" s="11">
        <v>20</v>
      </c>
      <c r="B20" s="14">
        <v>2.2000000000000002</v>
      </c>
      <c r="C20" s="6"/>
      <c r="D20" s="9"/>
    </row>
    <row r="21" spans="1:8" x14ac:dyDescent="0.3">
      <c r="A21" s="11">
        <v>33</v>
      </c>
      <c r="B21" s="14">
        <v>65.180000000000007</v>
      </c>
      <c r="C21" s="6"/>
      <c r="D21" s="9"/>
    </row>
    <row r="22" spans="1:8" x14ac:dyDescent="0.3">
      <c r="A22" s="11">
        <v>10</v>
      </c>
      <c r="B22" s="14">
        <v>6.64</v>
      </c>
      <c r="C22" s="6"/>
      <c r="D22" s="9"/>
    </row>
    <row r="23" spans="1:8" x14ac:dyDescent="0.3">
      <c r="A23" s="11">
        <v>250</v>
      </c>
      <c r="B23" s="14">
        <v>48.9</v>
      </c>
      <c r="C23" s="6"/>
      <c r="D23" s="9"/>
    </row>
    <row r="24" spans="1:8" x14ac:dyDescent="0.3">
      <c r="A24" s="11">
        <v>5</v>
      </c>
      <c r="B24" s="14">
        <v>1200</v>
      </c>
      <c r="C24" s="6"/>
      <c r="D24" s="9"/>
    </row>
    <row r="26" spans="1:8" ht="16.05" customHeight="1" x14ac:dyDescent="0.3">
      <c r="A26" s="25" t="s">
        <v>322</v>
      </c>
      <c r="B26" s="16"/>
      <c r="C26" s="16"/>
      <c r="D26" s="16"/>
      <c r="E26" s="16"/>
      <c r="F26" s="16"/>
      <c r="G26" s="16"/>
      <c r="H26" s="16"/>
    </row>
    <row r="27" spans="1:8" ht="15" customHeight="1" x14ac:dyDescent="0.3">
      <c r="A27" s="24" t="s">
        <v>426</v>
      </c>
      <c r="B27" s="16"/>
      <c r="C27" s="16"/>
      <c r="D27" s="16"/>
      <c r="E27" s="16"/>
      <c r="F27" s="16"/>
      <c r="G27" s="16"/>
      <c r="H27" s="16"/>
    </row>
    <row r="28" spans="1:8" ht="15" customHeight="1" x14ac:dyDescent="0.3">
      <c r="A28" s="24" t="s">
        <v>427</v>
      </c>
      <c r="B28" s="16"/>
      <c r="C28" s="16"/>
      <c r="D28" s="16"/>
      <c r="E28" s="16"/>
      <c r="F28" s="16"/>
      <c r="G28" s="16"/>
      <c r="H28" s="16"/>
    </row>
    <row r="29" spans="1:8" ht="15" customHeight="1" x14ac:dyDescent="0.3">
      <c r="A29" s="24" t="s">
        <v>376</v>
      </c>
      <c r="B29" s="16"/>
      <c r="C29" s="16"/>
      <c r="D29" s="16"/>
      <c r="E29" s="16"/>
      <c r="F29" s="16"/>
      <c r="G29" s="16"/>
      <c r="H29" s="16"/>
    </row>
    <row r="30" spans="1:8" ht="15" customHeight="1" x14ac:dyDescent="0.3">
      <c r="A30" s="24" t="s">
        <v>377</v>
      </c>
      <c r="B30" s="16"/>
      <c r="C30" s="16"/>
      <c r="D30" s="16"/>
      <c r="E30" s="16"/>
      <c r="F30" s="16"/>
      <c r="G30" s="16"/>
      <c r="H30" s="16"/>
    </row>
    <row r="31" spans="1:8" ht="15" customHeight="1" x14ac:dyDescent="0.3">
      <c r="A31" s="24" t="s">
        <v>428</v>
      </c>
      <c r="B31" s="16"/>
      <c r="C31" s="16"/>
      <c r="D31" s="16"/>
      <c r="E31" s="16"/>
      <c r="F31" s="16"/>
      <c r="G31" s="16"/>
      <c r="H31" s="16"/>
    </row>
    <row r="32" spans="1:8" ht="15" customHeight="1" x14ac:dyDescent="0.3">
      <c r="A32" s="24" t="s">
        <v>387</v>
      </c>
      <c r="B32" s="16"/>
      <c r="C32" s="16"/>
      <c r="D32" s="16"/>
      <c r="E32" s="16"/>
      <c r="F32" s="16"/>
      <c r="G32" s="16"/>
      <c r="H32" s="16"/>
    </row>
    <row r="33" spans="1:8" ht="15" customHeight="1" x14ac:dyDescent="0.3">
      <c r="A33" s="24" t="s">
        <v>388</v>
      </c>
      <c r="B33" s="16"/>
      <c r="C33" s="16"/>
      <c r="D33" s="16"/>
      <c r="E33" s="16"/>
      <c r="F33" s="16"/>
      <c r="G33" s="16"/>
      <c r="H33" s="16"/>
    </row>
    <row r="34" spans="1:8" ht="15" customHeight="1" x14ac:dyDescent="0.3">
      <c r="A34" s="24" t="s">
        <v>429</v>
      </c>
      <c r="B34" s="16"/>
      <c r="C34" s="16"/>
      <c r="D34" s="16"/>
      <c r="E34" s="16"/>
      <c r="F34" s="16"/>
      <c r="G34" s="16"/>
      <c r="H34" s="16"/>
    </row>
    <row r="35" spans="1:8" ht="15" customHeight="1" x14ac:dyDescent="0.3">
      <c r="A35" s="24" t="s">
        <v>430</v>
      </c>
      <c r="B35" s="16"/>
      <c r="C35" s="16"/>
      <c r="D35" s="16"/>
      <c r="E35" s="16"/>
      <c r="F35" s="16"/>
      <c r="G35" s="16"/>
      <c r="H35" s="16"/>
    </row>
    <row r="36" spans="1:8" ht="15" customHeight="1" x14ac:dyDescent="0.3">
      <c r="A36" s="24" t="s">
        <v>431</v>
      </c>
      <c r="B36" s="16"/>
      <c r="C36" s="16"/>
      <c r="D36" s="16"/>
      <c r="E36" s="16"/>
      <c r="F36" s="16"/>
      <c r="G36" s="16"/>
      <c r="H36" s="16"/>
    </row>
    <row r="37" spans="1:8" ht="15" customHeight="1" x14ac:dyDescent="0.3">
      <c r="A37" s="24" t="s">
        <v>330</v>
      </c>
      <c r="B37" s="16"/>
      <c r="C37" s="16"/>
      <c r="D37" s="16"/>
      <c r="E37" s="16"/>
      <c r="F37" s="16"/>
      <c r="G37" s="16"/>
      <c r="H37" s="16"/>
    </row>
    <row r="39" spans="1:8" ht="24" customHeight="1" x14ac:dyDescent="0.3">
      <c r="A39" s="20" t="s">
        <v>331</v>
      </c>
      <c r="B39" s="16"/>
      <c r="C39" s="16"/>
      <c r="D39" s="16"/>
      <c r="E39" s="16"/>
      <c r="F39" s="16"/>
      <c r="G39" s="16"/>
      <c r="H39" s="16"/>
    </row>
  </sheetData>
  <mergeCells count="28">
    <mergeCell ref="A1:H1"/>
    <mergeCell ref="A6:H6"/>
    <mergeCell ref="A7:H7"/>
    <mergeCell ref="A16:H16"/>
    <mergeCell ref="A37:H37"/>
    <mergeCell ref="A27:H27"/>
    <mergeCell ref="A12:H12"/>
    <mergeCell ref="A18:H18"/>
    <mergeCell ref="A26:H26"/>
    <mergeCell ref="A2:H2"/>
    <mergeCell ref="A33:H33"/>
    <mergeCell ref="A14:H14"/>
    <mergeCell ref="A5:H5"/>
    <mergeCell ref="A32:H32"/>
    <mergeCell ref="A8:H8"/>
    <mergeCell ref="A4:H4"/>
    <mergeCell ref="A9:H9"/>
    <mergeCell ref="A30:H30"/>
    <mergeCell ref="A39:H39"/>
    <mergeCell ref="A36:H36"/>
    <mergeCell ref="A11:H11"/>
    <mergeCell ref="A29:H29"/>
    <mergeCell ref="A35:H35"/>
    <mergeCell ref="A10:H10"/>
    <mergeCell ref="A28:H28"/>
    <mergeCell ref="A13:H13"/>
    <mergeCell ref="A31:H31"/>
    <mergeCell ref="A34:H3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9"/>
  <sheetViews>
    <sheetView workbookViewId="0"/>
  </sheetViews>
  <sheetFormatPr defaultRowHeight="14.4" x14ac:dyDescent="0.3"/>
  <cols>
    <col min="1" max="1" width="22" customWidth="1"/>
    <col min="2" max="3" width="16" customWidth="1"/>
    <col min="4" max="4" width="22" customWidth="1"/>
    <col min="5" max="8" width="14" customWidth="1"/>
  </cols>
  <sheetData>
    <row r="1" spans="1:8" ht="30" customHeight="1" x14ac:dyDescent="0.3">
      <c r="A1" s="17" t="s">
        <v>432</v>
      </c>
      <c r="B1" s="16"/>
      <c r="C1" s="16"/>
      <c r="D1" s="16"/>
      <c r="E1" s="16"/>
      <c r="F1" s="16"/>
      <c r="G1" s="16"/>
      <c r="H1" s="16"/>
    </row>
    <row r="2" spans="1:8" ht="19.95" customHeight="1" x14ac:dyDescent="0.3">
      <c r="A2" s="15" t="s">
        <v>433</v>
      </c>
      <c r="B2" s="16"/>
      <c r="C2" s="16"/>
      <c r="D2" s="16"/>
      <c r="E2" s="16"/>
      <c r="F2" s="16"/>
      <c r="G2" s="16"/>
      <c r="H2" s="16"/>
    </row>
    <row r="4" spans="1:8" ht="22.05" customHeight="1" x14ac:dyDescent="0.3">
      <c r="A4" s="21" t="s">
        <v>191</v>
      </c>
      <c r="B4" s="16"/>
      <c r="C4" s="16"/>
      <c r="D4" s="16"/>
      <c r="E4" s="16"/>
      <c r="F4" s="16"/>
      <c r="G4" s="16"/>
      <c r="H4" s="16"/>
    </row>
    <row r="5" spans="1:8" ht="18" customHeight="1" x14ac:dyDescent="0.3">
      <c r="A5" s="22" t="s">
        <v>434</v>
      </c>
      <c r="B5" s="16"/>
      <c r="C5" s="16"/>
      <c r="D5" s="16"/>
      <c r="E5" s="16"/>
      <c r="F5" s="16"/>
      <c r="G5" s="16"/>
      <c r="H5" s="16"/>
    </row>
    <row r="6" spans="1:8" ht="30" customHeight="1" x14ac:dyDescent="0.3">
      <c r="A6" s="18" t="s">
        <v>435</v>
      </c>
      <c r="B6" s="16"/>
      <c r="C6" s="16"/>
      <c r="D6" s="16"/>
      <c r="E6" s="16"/>
      <c r="F6" s="16"/>
      <c r="G6" s="16"/>
      <c r="H6" s="16"/>
    </row>
    <row r="7" spans="1:8" ht="15" customHeight="1" x14ac:dyDescent="0.3">
      <c r="A7" s="18" t="s">
        <v>436</v>
      </c>
      <c r="B7" s="16"/>
      <c r="C7" s="16"/>
      <c r="D7" s="16"/>
      <c r="E7" s="16"/>
      <c r="F7" s="16"/>
      <c r="G7" s="16"/>
      <c r="H7" s="16"/>
    </row>
    <row r="8" spans="1:8" ht="15" customHeight="1" x14ac:dyDescent="0.3">
      <c r="A8" s="18" t="s">
        <v>437</v>
      </c>
      <c r="B8" s="16"/>
      <c r="C8" s="16"/>
      <c r="D8" s="16"/>
      <c r="E8" s="16"/>
      <c r="F8" s="16"/>
      <c r="G8" s="16"/>
      <c r="H8" s="16"/>
    </row>
    <row r="9" spans="1:8" ht="18" customHeight="1" x14ac:dyDescent="0.3">
      <c r="A9" s="22" t="s">
        <v>438</v>
      </c>
      <c r="B9" s="16"/>
      <c r="C9" s="16"/>
      <c r="D9" s="16"/>
      <c r="E9" s="16"/>
      <c r="F9" s="16"/>
      <c r="G9" s="16"/>
      <c r="H9" s="16"/>
    </row>
    <row r="10" spans="1:8" ht="30" customHeight="1" x14ac:dyDescent="0.3">
      <c r="A10" s="18" t="s">
        <v>439</v>
      </c>
      <c r="B10" s="16"/>
      <c r="C10" s="16"/>
      <c r="D10" s="16"/>
      <c r="E10" s="16"/>
      <c r="F10" s="16"/>
      <c r="G10" s="16"/>
      <c r="H10" s="16"/>
    </row>
    <row r="11" spans="1:8" ht="28.05" customHeight="1" x14ac:dyDescent="0.3">
      <c r="A11" s="18" t="s">
        <v>440</v>
      </c>
      <c r="B11" s="16"/>
      <c r="C11" s="16"/>
      <c r="D11" s="16"/>
      <c r="E11" s="16"/>
      <c r="F11" s="16"/>
      <c r="G11" s="16"/>
      <c r="H11" s="16"/>
    </row>
    <row r="12" spans="1:8" ht="28.05" customHeight="1" x14ac:dyDescent="0.3">
      <c r="A12" s="18" t="s">
        <v>441</v>
      </c>
      <c r="B12" s="16"/>
      <c r="C12" s="16"/>
      <c r="D12" s="16"/>
      <c r="E12" s="16"/>
      <c r="F12" s="16"/>
      <c r="G12" s="16"/>
      <c r="H12" s="16"/>
    </row>
    <row r="13" spans="1:8" ht="18" customHeight="1" x14ac:dyDescent="0.3">
      <c r="A13" s="22" t="s">
        <v>442</v>
      </c>
      <c r="B13" s="16"/>
      <c r="C13" s="16"/>
      <c r="D13" s="16"/>
      <c r="E13" s="16"/>
      <c r="F13" s="16"/>
      <c r="G13" s="16"/>
      <c r="H13" s="16"/>
    </row>
    <row r="14" spans="1:8" ht="30" customHeight="1" x14ac:dyDescent="0.3">
      <c r="A14" s="18" t="s">
        <v>443</v>
      </c>
      <c r="B14" s="16"/>
      <c r="C14" s="16"/>
      <c r="D14" s="16"/>
      <c r="E14" s="16"/>
      <c r="F14" s="16"/>
      <c r="G14" s="16"/>
      <c r="H14" s="16"/>
    </row>
    <row r="15" spans="1:8" ht="15" customHeight="1" x14ac:dyDescent="0.3">
      <c r="A15" s="18" t="s">
        <v>444</v>
      </c>
      <c r="B15" s="16"/>
      <c r="C15" s="16"/>
      <c r="D15" s="16"/>
      <c r="E15" s="16"/>
      <c r="F15" s="16"/>
      <c r="G15" s="16"/>
      <c r="H15" s="16"/>
    </row>
    <row r="17" spans="1:8" ht="24" customHeight="1" x14ac:dyDescent="0.3">
      <c r="A17" s="23" t="s">
        <v>445</v>
      </c>
      <c r="B17" s="16"/>
      <c r="C17" s="16"/>
      <c r="D17" s="16"/>
      <c r="E17" s="16"/>
      <c r="F17" s="16"/>
      <c r="G17" s="16"/>
      <c r="H17" s="16"/>
    </row>
    <row r="19" spans="1:8" ht="16.05" customHeight="1" x14ac:dyDescent="0.3">
      <c r="A19" s="25" t="s">
        <v>322</v>
      </c>
      <c r="B19" s="16"/>
      <c r="C19" s="16"/>
      <c r="D19" s="16"/>
      <c r="E19" s="16"/>
      <c r="F19" s="16"/>
      <c r="G19" s="16"/>
      <c r="H19" s="16"/>
    </row>
    <row r="20" spans="1:8" ht="15" customHeight="1" x14ac:dyDescent="0.3">
      <c r="A20" s="24" t="s">
        <v>446</v>
      </c>
      <c r="B20" s="16"/>
      <c r="C20" s="16"/>
      <c r="D20" s="16"/>
      <c r="E20" s="16"/>
      <c r="F20" s="16"/>
      <c r="G20" s="16"/>
      <c r="H20" s="16"/>
    </row>
    <row r="21" spans="1:8" ht="15" customHeight="1" x14ac:dyDescent="0.3">
      <c r="A21" s="24" t="s">
        <v>447</v>
      </c>
      <c r="B21" s="16"/>
      <c r="C21" s="16"/>
      <c r="D21" s="16"/>
      <c r="E21" s="16"/>
      <c r="F21" s="16"/>
      <c r="G21" s="16"/>
      <c r="H21" s="16"/>
    </row>
    <row r="22" spans="1:8" ht="15" customHeight="1" x14ac:dyDescent="0.3">
      <c r="A22" s="24" t="s">
        <v>448</v>
      </c>
      <c r="B22" s="16"/>
      <c r="C22" s="16"/>
      <c r="D22" s="16"/>
      <c r="E22" s="16"/>
      <c r="F22" s="16"/>
      <c r="G22" s="16"/>
      <c r="H22" s="16"/>
    </row>
    <row r="23" spans="1:8" ht="15" customHeight="1" x14ac:dyDescent="0.3">
      <c r="A23" s="24" t="s">
        <v>449</v>
      </c>
      <c r="B23" s="16"/>
      <c r="C23" s="16"/>
      <c r="D23" s="16"/>
      <c r="E23" s="16"/>
      <c r="F23" s="16"/>
      <c r="G23" s="16"/>
      <c r="H23" s="16"/>
    </row>
    <row r="24" spans="1:8" ht="15" customHeight="1" x14ac:dyDescent="0.3">
      <c r="A24" s="24" t="s">
        <v>450</v>
      </c>
      <c r="B24" s="16"/>
      <c r="C24" s="16"/>
      <c r="D24" s="16"/>
      <c r="E24" s="16"/>
      <c r="F24" s="16"/>
      <c r="G24" s="16"/>
      <c r="H24" s="16"/>
    </row>
    <row r="25" spans="1:8" ht="15" customHeight="1" x14ac:dyDescent="0.3">
      <c r="A25" s="24" t="s">
        <v>451</v>
      </c>
      <c r="B25" s="16"/>
      <c r="C25" s="16"/>
      <c r="D25" s="16"/>
      <c r="E25" s="16"/>
      <c r="F25" s="16"/>
      <c r="G25" s="16"/>
      <c r="H25" s="16"/>
    </row>
    <row r="26" spans="1:8" ht="15" customHeight="1" x14ac:dyDescent="0.3">
      <c r="A26" s="24" t="s">
        <v>452</v>
      </c>
      <c r="B26" s="16"/>
      <c r="C26" s="16"/>
      <c r="D26" s="16"/>
      <c r="E26" s="16"/>
      <c r="F26" s="16"/>
      <c r="G26" s="16"/>
      <c r="H26" s="16"/>
    </row>
    <row r="27" spans="1:8" ht="15" customHeight="1" x14ac:dyDescent="0.3">
      <c r="A27" s="24" t="s">
        <v>453</v>
      </c>
      <c r="B27" s="16"/>
      <c r="C27" s="16"/>
      <c r="D27" s="16"/>
      <c r="E27" s="16"/>
      <c r="F27" s="16"/>
      <c r="G27" s="16"/>
      <c r="H27" s="16"/>
    </row>
    <row r="28" spans="1:8" ht="15" customHeight="1" x14ac:dyDescent="0.3">
      <c r="A28" s="24" t="s">
        <v>454</v>
      </c>
      <c r="B28" s="16"/>
      <c r="C28" s="16"/>
      <c r="D28" s="16"/>
      <c r="E28" s="16"/>
      <c r="F28" s="16"/>
      <c r="G28" s="16"/>
      <c r="H28" s="16"/>
    </row>
    <row r="29" spans="1:8" ht="15" customHeight="1" x14ac:dyDescent="0.3">
      <c r="A29" s="24" t="s">
        <v>455</v>
      </c>
      <c r="B29" s="16"/>
      <c r="C29" s="16"/>
      <c r="D29" s="16"/>
      <c r="E29" s="16"/>
      <c r="F29" s="16"/>
      <c r="G29" s="16"/>
      <c r="H29" s="16"/>
    </row>
    <row r="30" spans="1:8" ht="15" customHeight="1" x14ac:dyDescent="0.3">
      <c r="A30" s="24" t="s">
        <v>456</v>
      </c>
      <c r="B30" s="16"/>
      <c r="C30" s="16"/>
      <c r="D30" s="16"/>
      <c r="E30" s="16"/>
      <c r="F30" s="16"/>
      <c r="G30" s="16"/>
      <c r="H30" s="16"/>
    </row>
    <row r="31" spans="1:8" ht="15" customHeight="1" x14ac:dyDescent="0.3">
      <c r="A31" s="24" t="s">
        <v>457</v>
      </c>
      <c r="B31" s="16"/>
      <c r="C31" s="16"/>
      <c r="D31" s="16"/>
      <c r="E31" s="16"/>
      <c r="F31" s="16"/>
      <c r="G31" s="16"/>
      <c r="H31" s="16"/>
    </row>
    <row r="32" spans="1:8" ht="15" customHeight="1" x14ac:dyDescent="0.3">
      <c r="A32" s="24" t="s">
        <v>458</v>
      </c>
      <c r="B32" s="16"/>
      <c r="C32" s="16"/>
      <c r="D32" s="16"/>
      <c r="E32" s="16"/>
      <c r="F32" s="16"/>
      <c r="G32" s="16"/>
      <c r="H32" s="16"/>
    </row>
    <row r="33" spans="1:8" ht="15" customHeight="1" x14ac:dyDescent="0.3">
      <c r="A33" s="24" t="s">
        <v>459</v>
      </c>
      <c r="B33" s="16"/>
      <c r="C33" s="16"/>
      <c r="D33" s="16"/>
      <c r="E33" s="16"/>
      <c r="F33" s="16"/>
      <c r="G33" s="16"/>
      <c r="H33" s="16"/>
    </row>
    <row r="34" spans="1:8" ht="15" customHeight="1" x14ac:dyDescent="0.3">
      <c r="A34" s="24" t="s">
        <v>460</v>
      </c>
      <c r="B34" s="16"/>
      <c r="C34" s="16"/>
      <c r="D34" s="16"/>
      <c r="E34" s="16"/>
      <c r="F34" s="16"/>
      <c r="G34" s="16"/>
      <c r="H34" s="16"/>
    </row>
    <row r="35" spans="1:8" ht="15" customHeight="1" x14ac:dyDescent="0.3">
      <c r="A35" s="24" t="s">
        <v>461</v>
      </c>
      <c r="B35" s="16"/>
      <c r="C35" s="16"/>
      <c r="D35" s="16"/>
      <c r="E35" s="16"/>
      <c r="F35" s="16"/>
      <c r="G35" s="16"/>
      <c r="H35" s="16"/>
    </row>
    <row r="36" spans="1:8" ht="15" customHeight="1" x14ac:dyDescent="0.3">
      <c r="A36" s="24" t="s">
        <v>462</v>
      </c>
      <c r="B36" s="16"/>
      <c r="C36" s="16"/>
      <c r="D36" s="16"/>
      <c r="E36" s="16"/>
      <c r="F36" s="16"/>
      <c r="G36" s="16"/>
      <c r="H36" s="16"/>
    </row>
    <row r="37" spans="1:8" ht="15" customHeight="1" x14ac:dyDescent="0.3">
      <c r="A37" s="24" t="s">
        <v>463</v>
      </c>
      <c r="B37" s="16"/>
      <c r="C37" s="16"/>
      <c r="D37" s="16"/>
      <c r="E37" s="16"/>
      <c r="F37" s="16"/>
      <c r="G37" s="16"/>
      <c r="H37" s="16"/>
    </row>
    <row r="38" spans="1:8" ht="15" customHeight="1" x14ac:dyDescent="0.3">
      <c r="A38" s="24" t="s">
        <v>464</v>
      </c>
      <c r="B38" s="16"/>
      <c r="C38" s="16"/>
      <c r="D38" s="16"/>
      <c r="E38" s="16"/>
      <c r="F38" s="16"/>
      <c r="G38" s="16"/>
      <c r="H38" s="16"/>
    </row>
    <row r="39" spans="1:8" ht="15" customHeight="1" x14ac:dyDescent="0.3">
      <c r="A39" s="24" t="s">
        <v>465</v>
      </c>
      <c r="B39" s="16"/>
      <c r="C39" s="16"/>
      <c r="D39" s="16"/>
      <c r="E39" s="16"/>
      <c r="F39" s="16"/>
      <c r="G39" s="16"/>
      <c r="H39" s="16"/>
    </row>
    <row r="40" spans="1:8" ht="15" customHeight="1" x14ac:dyDescent="0.3">
      <c r="A40" s="24" t="s">
        <v>466</v>
      </c>
      <c r="B40" s="16"/>
      <c r="C40" s="16"/>
      <c r="D40" s="16"/>
      <c r="E40" s="16"/>
      <c r="F40" s="16"/>
      <c r="G40" s="16"/>
      <c r="H40" s="16"/>
    </row>
    <row r="41" spans="1:8" ht="15" customHeight="1" x14ac:dyDescent="0.3">
      <c r="A41" s="24" t="s">
        <v>467</v>
      </c>
      <c r="B41" s="16"/>
      <c r="C41" s="16"/>
      <c r="D41" s="16"/>
      <c r="E41" s="16"/>
      <c r="F41" s="16"/>
      <c r="G41" s="16"/>
      <c r="H41" s="16"/>
    </row>
    <row r="42" spans="1:8" ht="15" customHeight="1" x14ac:dyDescent="0.3">
      <c r="A42" s="24" t="s">
        <v>468</v>
      </c>
      <c r="B42" s="16"/>
      <c r="C42" s="16"/>
      <c r="D42" s="16"/>
      <c r="E42" s="16"/>
      <c r="F42" s="16"/>
      <c r="G42" s="16"/>
      <c r="H42" s="16"/>
    </row>
    <row r="43" spans="1:8" ht="15" customHeight="1" x14ac:dyDescent="0.3">
      <c r="A43" s="24" t="s">
        <v>469</v>
      </c>
      <c r="B43" s="16"/>
      <c r="C43" s="16"/>
      <c r="D43" s="16"/>
      <c r="E43" s="16"/>
      <c r="F43" s="16"/>
      <c r="G43" s="16"/>
      <c r="H43" s="16"/>
    </row>
    <row r="44" spans="1:8" ht="15" customHeight="1" x14ac:dyDescent="0.3">
      <c r="A44" s="24" t="s">
        <v>386</v>
      </c>
      <c r="B44" s="16"/>
      <c r="C44" s="16"/>
      <c r="D44" s="16"/>
      <c r="E44" s="16"/>
      <c r="F44" s="16"/>
      <c r="G44" s="16"/>
      <c r="H44" s="16"/>
    </row>
    <row r="45" spans="1:8" ht="15" customHeight="1" x14ac:dyDescent="0.3">
      <c r="A45" s="24" t="s">
        <v>470</v>
      </c>
      <c r="B45" s="16"/>
      <c r="C45" s="16"/>
      <c r="D45" s="16"/>
      <c r="E45" s="16"/>
      <c r="F45" s="16"/>
      <c r="G45" s="16"/>
      <c r="H45" s="16"/>
    </row>
    <row r="46" spans="1:8" ht="15" customHeight="1" x14ac:dyDescent="0.3">
      <c r="A46" s="24" t="s">
        <v>388</v>
      </c>
      <c r="B46" s="16"/>
      <c r="C46" s="16"/>
      <c r="D46" s="16"/>
      <c r="E46" s="16"/>
      <c r="F46" s="16"/>
      <c r="G46" s="16"/>
      <c r="H46" s="16"/>
    </row>
    <row r="47" spans="1:8" ht="15" customHeight="1" x14ac:dyDescent="0.3">
      <c r="A47" s="24" t="s">
        <v>330</v>
      </c>
      <c r="B47" s="16"/>
      <c r="C47" s="16"/>
      <c r="D47" s="16"/>
      <c r="E47" s="16"/>
      <c r="F47" s="16"/>
      <c r="G47" s="16"/>
      <c r="H47" s="16"/>
    </row>
    <row r="49" spans="1:8" ht="24" customHeight="1" x14ac:dyDescent="0.3">
      <c r="A49" s="20" t="s">
        <v>331</v>
      </c>
      <c r="B49" s="16"/>
      <c r="C49" s="16"/>
      <c r="D49" s="16"/>
      <c r="E49" s="16"/>
      <c r="F49" s="16"/>
      <c r="G49" s="16"/>
      <c r="H49" s="16"/>
    </row>
  </sheetData>
  <mergeCells count="45">
    <mergeCell ref="A4:H4"/>
    <mergeCell ref="A29:H29"/>
    <mergeCell ref="A35:H35"/>
    <mergeCell ref="A20:H20"/>
    <mergeCell ref="A38:H38"/>
    <mergeCell ref="A10:H10"/>
    <mergeCell ref="A28:H28"/>
    <mergeCell ref="A13:H13"/>
    <mergeCell ref="A19:H19"/>
    <mergeCell ref="A31:H31"/>
    <mergeCell ref="A34:H34"/>
    <mergeCell ref="A47:H47"/>
    <mergeCell ref="A5:H5"/>
    <mergeCell ref="A23:H23"/>
    <mergeCell ref="A32:H32"/>
    <mergeCell ref="A8:H8"/>
    <mergeCell ref="A22:H22"/>
    <mergeCell ref="A17:H17"/>
    <mergeCell ref="A40:H40"/>
    <mergeCell ref="A43:H43"/>
    <mergeCell ref="A44:H44"/>
    <mergeCell ref="A49:H49"/>
    <mergeCell ref="A1:H1"/>
    <mergeCell ref="A45:H45"/>
    <mergeCell ref="A6:H6"/>
    <mergeCell ref="A7:H7"/>
    <mergeCell ref="A25:H25"/>
    <mergeCell ref="A41:H41"/>
    <mergeCell ref="A37:H37"/>
    <mergeCell ref="A46:H46"/>
    <mergeCell ref="A27:H27"/>
    <mergeCell ref="A12:H12"/>
    <mergeCell ref="A26:H26"/>
    <mergeCell ref="A21:H21"/>
    <mergeCell ref="A2:H2"/>
    <mergeCell ref="A42:H42"/>
    <mergeCell ref="A33:H33"/>
    <mergeCell ref="A9:H9"/>
    <mergeCell ref="A30:H30"/>
    <mergeCell ref="A39:H39"/>
    <mergeCell ref="A15:H15"/>
    <mergeCell ref="A24:H24"/>
    <mergeCell ref="A36:H36"/>
    <mergeCell ref="A11:H11"/>
    <mergeCell ref="A14:H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Uebersicht</vt:lpstr>
      <vt:lpstr>Artikel</vt:lpstr>
      <vt:lpstr>Bestellungen</vt:lpstr>
      <vt:lpstr>Umsatz</vt:lpstr>
      <vt:lpstr>Tickets</vt:lpstr>
      <vt:lpstr>Rohdaten</vt:lpstr>
      <vt:lpstr>Set 01</vt:lpstr>
      <vt:lpstr>Set 02</vt:lpstr>
      <vt:lpstr>Set 03</vt:lpstr>
      <vt:lpstr>Set 04</vt:lpstr>
      <vt:lpstr>Set 05</vt:lpstr>
      <vt:lpstr>Set 06</vt:lpstr>
      <vt:lpstr>Set 07</vt:lpstr>
      <vt:lpstr>Set 08</vt:lpstr>
      <vt:lpstr>Set 09</vt:lpstr>
      <vt:lpstr>Set 10</vt:lpstr>
      <vt:lpstr>Set 11</vt:lpstr>
      <vt:lpstr>Set 12</vt:lpstr>
      <vt:lpstr>Artikelbezeichnung</vt:lpstr>
      <vt:lpstr>Preis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 Lischer</cp:lastModifiedBy>
  <dcterms:created xsi:type="dcterms:W3CDTF">2026-06-22T13:56:55Z</dcterms:created>
  <dcterms:modified xsi:type="dcterms:W3CDTF">2026-06-23T11:56:39Z</dcterms:modified>
</cp:coreProperties>
</file>